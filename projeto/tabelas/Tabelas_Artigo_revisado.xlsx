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Numeracao_final" sheetId="1" state="visible" r:id="rId1"/>
    <sheet xmlns:r="http://schemas.openxmlformats.org/officeDocument/2006/relationships" name="T10_um_ano" sheetId="2" state="visible" r:id="rId2"/>
    <sheet xmlns:r="http://schemas.openxmlformats.org/officeDocument/2006/relationships" name="T10_dois_anos" sheetId="3" state="visible" r:id="rId3"/>
    <sheet xmlns:r="http://schemas.openxmlformats.org/officeDocument/2006/relationships" name="T11_temporal" sheetId="4" state="visible" r:id="rId4"/>
    <sheet xmlns:r="http://schemas.openxmlformats.org/officeDocument/2006/relationships" name="T13_decomposicao" sheetId="5" state="visible" r:id="rId5"/>
    <sheet xmlns:r="http://schemas.openxmlformats.org/officeDocument/2006/relationships" name="T16_diagnostico" sheetId="6" state="visible" r:id="rId6"/>
    <sheet xmlns:r="http://schemas.openxmlformats.org/officeDocument/2006/relationships" name="T17_metricas" sheetId="7" state="visible" r:id="rId7"/>
    <sheet xmlns:r="http://schemas.openxmlformats.org/officeDocument/2006/relationships" name="T18_definicoes" sheetId="8" state="visible" r:id="rId8"/>
    <sheet xmlns:r="http://schemas.openxmlformats.org/officeDocument/2006/relationships" name="T19_sensibilidade" sheetId="9" state="visible" r:id="rId9"/>
    <sheet xmlns:r="http://schemas.openxmlformats.org/officeDocument/2006/relationships" name="T20_defasagens" sheetId="10" state="visible" r:id="rId10"/>
    <sheet xmlns:r="http://schemas.openxmlformats.org/officeDocument/2006/relationships" name="Estabilidade_h1" sheetId="11" state="visible" r:id="rId11"/>
    <sheet xmlns:r="http://schemas.openxmlformats.org/officeDocument/2006/relationships" name="Estabilidade_h2" sheetId="12" state="visible" r:id="rId12"/>
    <sheet xmlns:r="http://schemas.openxmlformats.org/officeDocument/2006/relationships" name="T14_puros" sheetId="13" state="visible" r:id="rId13"/>
    <sheet xmlns:r="http://schemas.openxmlformats.org/officeDocument/2006/relationships" name="T15_perfil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0"/>
    <numFmt numFmtId="165" formatCode="\+0.0000;\-0.0000"/>
    <numFmt numFmtId="166" formatCode="0.000"/>
    <numFmt numFmtId="167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0"/>
      <b val="1"/>
      <sz val="11"/>
    </font>
    <font>
      <name val="Times New Roman"/>
      <charset val="1"/>
      <family val="0"/>
      <b val="1"/>
      <sz val="10"/>
    </font>
    <font>
      <name val="Times New Roman"/>
      <charset val="1"/>
      <family val="0"/>
      <sz val="10"/>
    </font>
    <font>
      <name val="Times New Roman"/>
      <charset val="1"/>
      <family val="0"/>
      <i val="1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166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166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24" customWidth="1" style="11" min="2" max="2"/>
  </cols>
  <sheetData>
    <row r="1">
      <c r="A1" s="12" t="inlineStr">
        <is>
          <t>Numeração das tabelas: abas desta planilha e versão final do artigo (com o Apêndice A)</t>
        </is>
      </c>
    </row>
    <row r="3">
      <c r="A3" s="12" t="inlineStr">
        <is>
          <t>Tabela nas abas e no original</t>
        </is>
      </c>
      <c r="B3" s="12" t="inlineStr">
        <is>
          <t>Tabela na versão final</t>
        </is>
      </c>
      <c r="C3" s="12" t="inlineStr">
        <is>
          <t>Local</t>
        </is>
      </c>
    </row>
    <row r="4">
      <c r="A4" t="n">
        <v>1</v>
      </c>
      <c r="B4" t="inlineStr">
        <is>
          <t>1</t>
        </is>
      </c>
      <c r="C4" t="inlineStr">
        <is>
          <t>Corpo</t>
        </is>
      </c>
    </row>
    <row r="5">
      <c r="A5" t="n">
        <v>2</v>
      </c>
      <c r="B5" t="inlineStr">
        <is>
          <t>2</t>
        </is>
      </c>
      <c r="C5" t="inlineStr">
        <is>
          <t>Corpo</t>
        </is>
      </c>
    </row>
    <row r="6">
      <c r="A6" t="n">
        <v>3</v>
      </c>
      <c r="B6" t="inlineStr">
        <is>
          <t>3</t>
        </is>
      </c>
      <c r="C6" t="inlineStr">
        <is>
          <t>Corpo</t>
        </is>
      </c>
    </row>
    <row r="7">
      <c r="A7" t="n">
        <v>4</v>
      </c>
      <c r="B7" t="inlineStr">
        <is>
          <t>4</t>
        </is>
      </c>
      <c r="C7" t="inlineStr">
        <is>
          <t>Corpo</t>
        </is>
      </c>
    </row>
    <row r="8">
      <c r="A8" t="n">
        <v>5</v>
      </c>
      <c r="B8" t="inlineStr">
        <is>
          <t>5</t>
        </is>
      </c>
      <c r="C8" t="inlineStr">
        <is>
          <t>Corpo</t>
        </is>
      </c>
    </row>
    <row r="9">
      <c r="A9" t="n">
        <v>6</v>
      </c>
      <c r="B9" t="inlineStr">
        <is>
          <t>6</t>
        </is>
      </c>
      <c r="C9" t="inlineStr">
        <is>
          <t>Corpo</t>
        </is>
      </c>
    </row>
    <row r="10">
      <c r="A10" t="n">
        <v>7</v>
      </c>
      <c r="B10" t="inlineStr">
        <is>
          <t>7</t>
        </is>
      </c>
      <c r="C10" t="inlineStr">
        <is>
          <t>Corpo</t>
        </is>
      </c>
    </row>
    <row r="11">
      <c r="A11" t="n">
        <v>8</v>
      </c>
      <c r="B11" t="inlineStr">
        <is>
          <t>A.1</t>
        </is>
      </c>
      <c r="C11" t="inlineStr">
        <is>
          <t>Apêndice A</t>
        </is>
      </c>
    </row>
    <row r="12">
      <c r="A12" t="n">
        <v>9</v>
      </c>
      <c r="B12" t="inlineStr">
        <is>
          <t>A.2</t>
        </is>
      </c>
      <c r="C12" t="inlineStr">
        <is>
          <t>Apêndice A</t>
        </is>
      </c>
    </row>
    <row r="13">
      <c r="A13" t="n">
        <v>10</v>
      </c>
      <c r="B13" t="inlineStr">
        <is>
          <t>8</t>
        </is>
      </c>
      <c r="C13" t="inlineStr">
        <is>
          <t>Corpo</t>
        </is>
      </c>
    </row>
    <row r="14">
      <c r="A14" t="n">
        <v>11</v>
      </c>
      <c r="B14" t="inlineStr">
        <is>
          <t>A.3</t>
        </is>
      </c>
      <c r="C14" t="inlineStr">
        <is>
          <t>Apêndice A</t>
        </is>
      </c>
    </row>
    <row r="15">
      <c r="A15" t="n">
        <v>12</v>
      </c>
      <c r="B15" t="inlineStr">
        <is>
          <t>9</t>
        </is>
      </c>
      <c r="C15" t="inlineStr">
        <is>
          <t>Corpo</t>
        </is>
      </c>
    </row>
    <row r="16">
      <c r="A16" t="n">
        <v>13</v>
      </c>
      <c r="B16" t="inlineStr">
        <is>
          <t>10</t>
        </is>
      </c>
      <c r="C16" t="inlineStr">
        <is>
          <t>Corpo</t>
        </is>
      </c>
    </row>
    <row r="17">
      <c r="A17" t="n">
        <v>14</v>
      </c>
      <c r="B17" t="inlineStr">
        <is>
          <t>11</t>
        </is>
      </c>
      <c r="C17" t="inlineStr">
        <is>
          <t>Corpo</t>
        </is>
      </c>
    </row>
    <row r="18">
      <c r="A18" t="n">
        <v>15</v>
      </c>
      <c r="B18" t="inlineStr">
        <is>
          <t>12</t>
        </is>
      </c>
      <c r="C18" t="inlineStr">
        <is>
          <t>Corpo</t>
        </is>
      </c>
    </row>
    <row r="19">
      <c r="A19" t="n">
        <v>16</v>
      </c>
      <c r="B19" t="inlineStr">
        <is>
          <t>13</t>
        </is>
      </c>
      <c r="C19" t="inlineStr">
        <is>
          <t>Corpo</t>
        </is>
      </c>
    </row>
    <row r="20">
      <c r="A20" t="n">
        <v>17</v>
      </c>
      <c r="B20" t="inlineStr">
        <is>
          <t>14</t>
        </is>
      </c>
      <c r="C20" t="inlineStr">
        <is>
          <t>Corpo</t>
        </is>
      </c>
    </row>
    <row r="21">
      <c r="A21" t="n">
        <v>18</v>
      </c>
      <c r="B21" t="inlineStr">
        <is>
          <t>A.4</t>
        </is>
      </c>
      <c r="C21" t="inlineStr">
        <is>
          <t>Apêndice A</t>
        </is>
      </c>
    </row>
    <row r="22">
      <c r="A22" t="n">
        <v>19</v>
      </c>
      <c r="B22" t="inlineStr">
        <is>
          <t>A.5</t>
        </is>
      </c>
      <c r="C22" t="inlineStr">
        <is>
          <t>Apêndice A</t>
        </is>
      </c>
    </row>
    <row r="23">
      <c r="A23" t="n">
        <v>20</v>
      </c>
      <c r="B23" t="inlineStr">
        <is>
          <t>A.6</t>
        </is>
      </c>
      <c r="C23" t="inlineStr">
        <is>
          <t>Apêndice 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7"/>
  </cols>
  <sheetData>
    <row r="1" ht="15" customHeight="1" s="11">
      <c r="A1" s="14" t="inlineStr">
        <is>
          <t>Tabela 10 – Desempenho fora da amostra, horizonte de um ano</t>
        </is>
      </c>
    </row>
    <row r="3" ht="30" customHeight="1" s="11">
      <c r="A3" s="15" t="inlineStr">
        <is>
          <t>Modelo</t>
        </is>
      </c>
      <c r="B3" s="15" t="inlineStr">
        <is>
          <t>AUC</t>
        </is>
      </c>
      <c r="C3" s="15" t="inlineStr">
        <is>
          <t>Diferença contra F</t>
        </is>
      </c>
      <c r="D3" s="15" t="inlineStr">
        <is>
          <t>IC 95% inferior</t>
        </is>
      </c>
      <c r="E3" s="15" t="inlineStr">
        <is>
          <t>IC 95% superior</t>
        </is>
      </c>
      <c r="F3" s="15" t="inlineStr">
        <is>
          <t>p bootstrap</t>
        </is>
      </c>
      <c r="G3" s="15" t="inlineStr">
        <is>
          <t>p ajustado</t>
        </is>
      </c>
    </row>
    <row r="4" ht="15" customHeight="1" s="11">
      <c r="A4" s="16" t="inlineStr">
        <is>
          <t>Componentes principais (F)</t>
        </is>
      </c>
      <c r="B4" s="17" t="n">
        <v>0.7642673983386623</v>
      </c>
      <c r="C4" s="18" t="n"/>
      <c r="D4" s="18" t="n"/>
      <c r="E4" s="18" t="n"/>
      <c r="F4" s="17" t="n"/>
      <c r="G4" s="17" t="n"/>
    </row>
    <row r="5" ht="15" customHeight="1" s="11">
      <c r="A5" s="16" t="inlineStr">
        <is>
          <t>Árvores impulsionadas</t>
        </is>
      </c>
      <c r="B5" s="17" t="n">
        <v>0.8969839087895205</v>
      </c>
      <c r="C5" s="18">
        <f>B5-$B$4</f>
        <v/>
      </c>
      <c r="D5" s="18" t="n">
        <v>0.0857751707434312</v>
      </c>
      <c r="E5" s="18" t="n">
        <v>0.1813942265915912</v>
      </c>
      <c r="F5" s="17" t="n">
        <v>0.0005</v>
      </c>
      <c r="G5" s="17">
        <f>MIN(1,F5*6)</f>
        <v/>
      </c>
    </row>
    <row r="6" ht="15" customHeight="1" s="11">
      <c r="A6" s="16" t="inlineStr">
        <is>
          <t>Cobertura de juros</t>
        </is>
      </c>
      <c r="B6" s="17" t="n">
        <v>0.8936871362140634</v>
      </c>
      <c r="C6" s="18">
        <f>B6-$B$4</f>
        <v/>
      </c>
      <c r="D6" s="18" t="n">
        <v>0.0800957193667922</v>
      </c>
      <c r="E6" s="18" t="n">
        <v>0.1813288756101432</v>
      </c>
      <c r="F6" s="17" t="n">
        <v>0.0005</v>
      </c>
      <c r="G6" s="17">
        <f>MIN(1,F6*6)</f>
        <v/>
      </c>
    </row>
    <row r="7" ht="15" customHeight="1" s="11">
      <c r="A7" s="16" t="inlineStr">
        <is>
          <t>Mínimos quadrados parciais</t>
        </is>
      </c>
      <c r="B7" s="17" t="n">
        <v>0.8752530312353954</v>
      </c>
      <c r="C7" s="18">
        <f>B7-$B$4</f>
        <v/>
      </c>
      <c r="D7" s="18" t="n">
        <v>0.0644198867522225</v>
      </c>
      <c r="E7" s="18" t="n">
        <v>0.1603352399513336</v>
      </c>
      <c r="F7" s="17" t="n">
        <v>0.0005</v>
      </c>
      <c r="G7" s="17">
        <f>F7</f>
        <v/>
      </c>
    </row>
    <row r="8" ht="15" customHeight="1" s="11">
      <c r="A8" s="16" t="inlineStr">
        <is>
          <t>Retorno sobre ativos</t>
        </is>
      </c>
      <c r="B8" s="17" t="n">
        <v>0.8738756641855786</v>
      </c>
      <c r="C8" s="18">
        <f>B8-$B$4</f>
        <v/>
      </c>
      <c r="D8" s="18" t="n">
        <v>0.0607085903949829</v>
      </c>
      <c r="E8" s="18" t="n">
        <v>0.1578004553955183</v>
      </c>
      <c r="F8" s="17" t="n">
        <v>0.0005</v>
      </c>
      <c r="G8" s="17">
        <f>MIN(1,F8*6)</f>
        <v/>
      </c>
    </row>
    <row r="9" ht="15" customHeight="1" s="11">
      <c r="A9" s="16" t="inlineStr">
        <is>
          <t>Brito e Assaf Neto</t>
        </is>
      </c>
      <c r="B9" s="17" t="n">
        <v>0.7344984533744122</v>
      </c>
      <c r="C9" s="18">
        <f>B9-$B$4</f>
        <v/>
      </c>
      <c r="D9" s="18" t="n">
        <v>-0.0751501393568418</v>
      </c>
      <c r="E9" s="18" t="n">
        <v>0.0162514157036613</v>
      </c>
      <c r="F9" s="17" t="n">
        <v>0.199</v>
      </c>
      <c r="G9" s="17">
        <f>MIN(1,F9*6)</f>
        <v/>
      </c>
    </row>
    <row r="10" ht="15" customHeight="1" s="11">
      <c r="A10" s="16" t="inlineStr">
        <is>
          <t>Liquidez corrente</t>
        </is>
      </c>
      <c r="B10" s="17" t="n">
        <v>0.6039720250584867</v>
      </c>
      <c r="C10" s="18">
        <f>B10-$B$4</f>
        <v/>
      </c>
      <c r="D10" s="18" t="n">
        <v>-0.193073361694687</v>
      </c>
      <c r="E10" s="18" t="n">
        <v>-0.1254326788013387</v>
      </c>
      <c r="F10" s="17" t="n">
        <v>0.0005</v>
      </c>
      <c r="G10" s="17">
        <f>MIN(1,F10*6)</f>
        <v/>
      </c>
    </row>
    <row r="11" ht="15" customHeight="1" s="11">
      <c r="A11" s="16" t="inlineStr">
        <is>
          <t>Alavancagem</t>
        </is>
      </c>
      <c r="B11" s="17" t="n">
        <v>0.5311374036699636</v>
      </c>
      <c r="C11" s="18">
        <f>B11-$B$4</f>
        <v/>
      </c>
      <c r="D11" s="18" t="n">
        <v>-0.2815920991542617</v>
      </c>
      <c r="E11" s="18" t="n">
        <v>-0.1812856158374114</v>
      </c>
      <c r="F11" s="17" t="n">
        <v>0.0005</v>
      </c>
      <c r="G11" s="17">
        <f>MIN(1,F11*6)</f>
        <v/>
      </c>
    </row>
    <row r="12">
      <c r="A12" t="inlineStr">
        <is>
          <t>Fonte: 01 e 02. Validação cruzada agrupada por firma, atribuição de referência. Diferença por fórmula. p ajustado por Bonferroni para as seis comparações contra benchmarks e referência não linear; a comparação com mínimos quadrados parciais responde a H4 e não é ajustada.</t>
        </is>
      </c>
    </row>
    <row r="13" ht="15" customHeight="1" s="11">
      <c r="A13" s="1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7"/>
  </cols>
  <sheetData>
    <row r="1" ht="15" customHeight="1" s="11">
      <c r="A1" s="14" t="inlineStr">
        <is>
          <t>Tabela 10 – Desempenho fora da amostra, horizonte de dois anos</t>
        </is>
      </c>
    </row>
    <row r="3" ht="30" customHeight="1" s="11">
      <c r="A3" s="15" t="inlineStr">
        <is>
          <t>Modelo</t>
        </is>
      </c>
      <c r="B3" s="15" t="inlineStr">
        <is>
          <t>AUC</t>
        </is>
      </c>
      <c r="C3" s="15" t="inlineStr">
        <is>
          <t>Diferença contra F</t>
        </is>
      </c>
      <c r="D3" s="15" t="inlineStr">
        <is>
          <t>IC 95% inferior</t>
        </is>
      </c>
      <c r="E3" s="15" t="inlineStr">
        <is>
          <t>IC 95% superior</t>
        </is>
      </c>
      <c r="F3" s="15" t="inlineStr">
        <is>
          <t>p bootstrap</t>
        </is>
      </c>
      <c r="G3" s="15" t="inlineStr">
        <is>
          <t>p ajustado</t>
        </is>
      </c>
    </row>
    <row r="4" ht="15" customHeight="1" s="11">
      <c r="A4" s="16" t="inlineStr">
        <is>
          <t>Componentes principais (F)</t>
        </is>
      </c>
      <c r="B4" s="17" t="n">
        <v>0.6266128172318192</v>
      </c>
      <c r="C4" s="18" t="n"/>
      <c r="D4" s="18" t="n"/>
      <c r="E4" s="18" t="n"/>
      <c r="F4" s="17" t="n"/>
      <c r="G4" s="17" t="n"/>
    </row>
    <row r="5" ht="15" customHeight="1" s="11">
      <c r="A5" s="16" t="inlineStr">
        <is>
          <t>Árvores impulsionadas</t>
        </is>
      </c>
      <c r="B5" s="17" t="n">
        <v>0.7525839350455473</v>
      </c>
      <c r="C5" s="18">
        <f>B5-$B$4</f>
        <v/>
      </c>
      <c r="D5" s="18" t="n">
        <v>0.0599783549713972</v>
      </c>
      <c r="E5" s="18" t="n">
        <v>0.1922636251348856</v>
      </c>
      <c r="F5" s="17" t="n">
        <v>0.0005</v>
      </c>
      <c r="G5" s="17">
        <f>MIN(1,F5*6)</f>
        <v/>
      </c>
    </row>
    <row r="6" ht="15" customHeight="1" s="11">
      <c r="A6" s="16" t="inlineStr">
        <is>
          <t>Cobertura de juros</t>
        </is>
      </c>
      <c r="B6" s="17" t="n">
        <v>0.6812877022210035</v>
      </c>
      <c r="C6" s="18">
        <f>B6-$B$4</f>
        <v/>
      </c>
      <c r="D6" s="18" t="n">
        <v>0.008098410066950199</v>
      </c>
      <c r="E6" s="18" t="n">
        <v>0.1051822876724277</v>
      </c>
      <c r="F6" s="17" t="n">
        <v>0.02</v>
      </c>
      <c r="G6" s="17">
        <f>MIN(1,F6*6)</f>
        <v/>
      </c>
    </row>
    <row r="7" ht="15" customHeight="1" s="11">
      <c r="A7" s="16" t="inlineStr">
        <is>
          <t>Mínimos quadrados parciais</t>
        </is>
      </c>
      <c r="B7" s="17" t="n">
        <v>0.7247547451482192</v>
      </c>
      <c r="C7" s="18">
        <f>B7-$B$4</f>
        <v/>
      </c>
      <c r="D7" s="18" t="n">
        <v>0.0493803501518459</v>
      </c>
      <c r="E7" s="18" t="n">
        <v>0.1478544043325228</v>
      </c>
      <c r="F7" s="17" t="n">
        <v>0.0005</v>
      </c>
      <c r="G7" s="17">
        <f>F7</f>
        <v/>
      </c>
    </row>
    <row r="8" ht="15" customHeight="1" s="11">
      <c r="A8" s="16" t="inlineStr">
        <is>
          <t>Retorno sobre ativos</t>
        </is>
      </c>
      <c r="B8" s="17" t="n">
        <v>0.7307166468634799</v>
      </c>
      <c r="C8" s="18">
        <f>B8-$B$4</f>
        <v/>
      </c>
      <c r="D8" s="18" t="n">
        <v>0.0596128290521198</v>
      </c>
      <c r="E8" s="18" t="n">
        <v>0.1479577248297307</v>
      </c>
      <c r="F8" s="17" t="n">
        <v>0.0005</v>
      </c>
      <c r="G8" s="17">
        <f>MIN(1,F8*6)</f>
        <v/>
      </c>
    </row>
    <row r="9" ht="15" customHeight="1" s="11">
      <c r="A9" s="16" t="inlineStr">
        <is>
          <t>Brito e Assaf Neto</t>
        </is>
      </c>
      <c r="B9" s="17" t="n">
        <v>0.667237912439448</v>
      </c>
      <c r="C9" s="18">
        <f>B9-$B$4</f>
        <v/>
      </c>
      <c r="D9" s="18" t="n">
        <v>-0.0119712517042226</v>
      </c>
      <c r="E9" s="18" t="n">
        <v>0.09120181363480689</v>
      </c>
      <c r="F9" s="17" t="n">
        <v>0.115</v>
      </c>
      <c r="G9" s="17">
        <f>MIN(1,F9*6)</f>
        <v/>
      </c>
    </row>
    <row r="10" ht="15" customHeight="1" s="11">
      <c r="A10" s="16" t="inlineStr">
        <is>
          <t>Liquidez corrente</t>
        </is>
      </c>
      <c r="B10" s="17" t="n">
        <v>0.5680791670474972</v>
      </c>
      <c r="C10" s="18">
        <f>B10-$B$4</f>
        <v/>
      </c>
      <c r="D10" s="18" t="n">
        <v>-0.0905528171102274</v>
      </c>
      <c r="E10" s="18" t="n">
        <v>-0.0278237792693648</v>
      </c>
      <c r="F10" s="17" t="n">
        <v>0.0005</v>
      </c>
      <c r="G10" s="17">
        <f>MIN(1,F10*6)</f>
        <v/>
      </c>
    </row>
    <row r="11" ht="15" customHeight="1" s="11">
      <c r="A11" s="16" t="inlineStr">
        <is>
          <t>Alavancagem</t>
        </is>
      </c>
      <c r="B11" s="17" t="n">
        <v>0.5052554611095877</v>
      </c>
      <c r="C11" s="18">
        <f>B11-$B$4</f>
        <v/>
      </c>
      <c r="D11" s="18" t="n">
        <v>-0.1712187264084851</v>
      </c>
      <c r="E11" s="18" t="n">
        <v>-0.0753579660663876</v>
      </c>
      <c r="F11" s="17" t="n">
        <v>0.0005</v>
      </c>
      <c r="G11" s="17">
        <f>MIN(1,F11*6)</f>
        <v/>
      </c>
    </row>
    <row r="12">
      <c r="A12" t="inlineStr">
        <is>
          <t>Fonte: 01 e 02. Validação cruzada agrupada por firma, atribuição de referência. Diferença por fórmula. p ajustado por Bonferroni para as seis comparações contra benchmarks e referência não linear; a comparação com mínimos quadrados parciais responde a H4 e não é ajustada.</t>
        </is>
      </c>
    </row>
    <row r="13" ht="15" customHeight="1" s="11">
      <c r="A13" s="1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6"/>
  </cols>
  <sheetData>
    <row r="1" ht="15" customHeight="1" s="11">
      <c r="A1" s="14" t="inlineStr">
        <is>
          <t>Tabela 11 – Desempenho sob o esquema temporal</t>
        </is>
      </c>
    </row>
    <row r="3" ht="30" customHeight="1" s="11">
      <c r="A3" s="15" t="inlineStr">
        <is>
          <t>Modelo</t>
        </is>
      </c>
      <c r="B3" s="15" t="inlineStr">
        <is>
          <t>AUC um ano</t>
        </is>
      </c>
      <c r="C3" s="15" t="inlineStr">
        <is>
          <t>Diferença</t>
        </is>
      </c>
      <c r="D3" s="15" t="inlineStr">
        <is>
          <t>IC 95% inferior</t>
        </is>
      </c>
      <c r="E3" s="15" t="inlineStr">
        <is>
          <t>IC 95% superior</t>
        </is>
      </c>
      <c r="F3" s="15" t="inlineStr">
        <is>
          <t>AUC dois anos</t>
        </is>
      </c>
    </row>
    <row r="4" ht="15" customHeight="1" s="11">
      <c r="A4" s="16" t="inlineStr">
        <is>
          <t>Componentes principais (F)</t>
        </is>
      </c>
      <c r="B4" s="17" t="n">
        <v>0.7438354214123006</v>
      </c>
      <c r="C4" s="18" t="n"/>
      <c r="D4" s="18" t="n"/>
      <c r="E4" s="18" t="n"/>
      <c r="F4" s="17" t="n">
        <v>0.6808182527590948</v>
      </c>
    </row>
    <row r="5" ht="15" customHeight="1" s="11">
      <c r="A5" s="16" t="inlineStr">
        <is>
          <t>Árvores impulsionadas</t>
        </is>
      </c>
      <c r="B5" s="17" t="n">
        <v>0.9111332574031891</v>
      </c>
      <c r="C5" s="18">
        <f>B5-$B$4</f>
        <v/>
      </c>
      <c r="D5" s="18" t="n">
        <v>0.07675753614260297</v>
      </c>
      <c r="E5" s="18" t="n">
        <v>0.2647359585531192</v>
      </c>
      <c r="F5" s="17" t="n">
        <v>0.7084277804615213</v>
      </c>
    </row>
    <row r="6" ht="15" customHeight="1" s="11">
      <c r="A6" s="16" t="inlineStr">
        <is>
          <t>Retorno sobre ativos</t>
        </is>
      </c>
      <c r="B6" s="17" t="n">
        <v>0.9035449886104784</v>
      </c>
      <c r="C6" s="18">
        <f>B6-$B$4</f>
        <v/>
      </c>
      <c r="D6" s="18" t="n">
        <v>0.06683609790819094</v>
      </c>
      <c r="E6" s="18" t="n">
        <v>0.25787137641433</v>
      </c>
      <c r="F6" s="17" t="n">
        <v>0.7272490803017353</v>
      </c>
    </row>
    <row r="7" ht="15" customHeight="1" s="11">
      <c r="A7" s="16" t="inlineStr">
        <is>
          <t>Mínimos quadrados parciais</t>
        </is>
      </c>
      <c r="B7" s="17" t="n">
        <v>0.8995017084282461</v>
      </c>
      <c r="C7" s="18">
        <f>B7-$B$4</f>
        <v/>
      </c>
      <c r="D7" s="18" t="n">
        <v>0.06314394120270203</v>
      </c>
      <c r="E7" s="18" t="n">
        <v>0.2586427139447331</v>
      </c>
      <c r="F7" s="17" t="n">
        <v>0.6897736984876073</v>
      </c>
    </row>
    <row r="8" ht="15" customHeight="1" s="11">
      <c r="A8" s="16" t="inlineStr">
        <is>
          <t>Cobertura de juros</t>
        </is>
      </c>
      <c r="B8" s="17" t="n">
        <v>0.8905466970387244</v>
      </c>
      <c r="C8" s="18">
        <f>B8-$B$4</f>
        <v/>
      </c>
      <c r="D8" s="18" t="n">
        <v>0.0446372700183863</v>
      </c>
      <c r="E8" s="18" t="n">
        <v>0.252442977628922</v>
      </c>
      <c r="F8" s="17" t="n">
        <v>0.7220931960908179</v>
      </c>
    </row>
    <row r="9" ht="15" customHeight="1" s="11">
      <c r="A9" s="16" t="inlineStr">
        <is>
          <t>Brito e Assaf Neto</t>
        </is>
      </c>
      <c r="B9" s="17" t="n">
        <v>0.7870159453302962</v>
      </c>
      <c r="C9" s="18">
        <f>B9-$B$4</f>
        <v/>
      </c>
      <c r="D9" s="18" t="n"/>
      <c r="E9" s="18" t="n"/>
      <c r="F9" s="17" t="n">
        <v>0.6862621232953068</v>
      </c>
    </row>
    <row r="11" ht="15" customHeight="1" s="11">
      <c r="A11" s="19" t="inlineStr">
        <is>
          <t>Fonte: 10. Treino com desfechos até 2021 (109 entradas); teste de 2022 a 2025 (40 entradas em um ano, 34 em dois).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7"/>
  </cols>
  <sheetData>
    <row r="1" ht="15" customHeight="1" s="11">
      <c r="A1" s="14" t="inlineStr">
        <is>
          <t>Tabela 13 – Desempenho fora da amostra por tipo de entrada</t>
        </is>
      </c>
    </row>
    <row r="3" ht="30" customHeight="1" s="11">
      <c r="A3" s="15" t="inlineStr">
        <is>
          <t>Tipo de entrada</t>
        </is>
      </c>
      <c r="B3" s="15" t="inlineStr">
        <is>
          <t>Entradas</t>
        </is>
      </c>
      <c r="C3" s="15" t="inlineStr">
        <is>
          <t>Escore F</t>
        </is>
      </c>
      <c r="D3" s="15" t="inlineStr">
        <is>
          <t>Árvores</t>
        </is>
      </c>
      <c r="E3" s="15" t="inlineStr">
        <is>
          <t>Cobertura</t>
        </is>
      </c>
      <c r="F3" s="15" t="inlineStr">
        <is>
          <t>PLS</t>
        </is>
      </c>
      <c r="G3" s="15" t="inlineStr">
        <is>
          <t>ROA</t>
        </is>
      </c>
      <c r="H3" s="12" t="inlineStr">
        <is>
          <t>MEB</t>
        </is>
      </c>
    </row>
    <row r="4" ht="15" customHeight="1" s="11">
      <c r="A4" s="16" t="inlineStr">
        <is>
          <t>Um ano</t>
        </is>
      </c>
      <c r="B4" s="20" t="n"/>
      <c r="C4" s="17" t="n"/>
      <c r="D4" s="17" t="n"/>
      <c r="E4" s="17" t="n"/>
      <c r="F4" s="17" t="n"/>
      <c r="G4" s="17" t="n"/>
    </row>
    <row r="5" ht="15" customHeight="1" s="11">
      <c r="A5" s="16" t="inlineStr">
        <is>
          <t>Somente por EBITDA negativo</t>
        </is>
      </c>
      <c r="B5" s="20" t="n">
        <v>66</v>
      </c>
      <c r="C5" s="17" t="n">
        <v>0.6456748411210327</v>
      </c>
      <c r="D5" s="17" t="n">
        <v>0.9691742315951016</v>
      </c>
      <c r="E5" s="17" t="n">
        <v>0.9729874815131095</v>
      </c>
      <c r="F5" s="17" t="n">
        <v>0.9385009993750039</v>
      </c>
      <c r="G5" s="17" t="n">
        <v>0.9117301254323922</v>
      </c>
      <c r="H5" t="n">
        <v>0.978129776424651</v>
      </c>
    </row>
    <row r="6" ht="15" customHeight="1" s="11">
      <c r="A6" s="16" t="inlineStr">
        <is>
          <t>Patrimônio líquido negativo</t>
        </is>
      </c>
      <c r="B6" s="20" t="n">
        <v>70</v>
      </c>
      <c r="C6" s="17" t="n">
        <v>0.8580133609498526</v>
      </c>
      <c r="D6" s="17" t="n">
        <v>0.83640085766796</v>
      </c>
      <c r="E6" s="17" t="n">
        <v>0.8251101257329561</v>
      </c>
      <c r="F6" s="17" t="n">
        <v>0.8061825024067213</v>
      </c>
      <c r="G6" s="17" t="n">
        <v>0.8332244231161937</v>
      </c>
      <c r="H6" t="n">
        <v>0.6893593745441817</v>
      </c>
    </row>
    <row r="7" ht="15" customHeight="1" s="11">
      <c r="A7" s="16" t="inlineStr">
        <is>
          <t>Recuperação judicial</t>
        </is>
      </c>
      <c r="B7" s="20" t="n">
        <v>20</v>
      </c>
      <c r="C7" s="17" t="n">
        <v>0.8875056156830713</v>
      </c>
      <c r="D7" s="17" t="n">
        <v>0.8865489074943843</v>
      </c>
      <c r="E7" s="17" t="n">
        <v>0.8698029405758628</v>
      </c>
      <c r="F7" s="17" t="n">
        <v>0.922327955891362</v>
      </c>
      <c r="G7" s="17" t="n">
        <v>0.917623034510925</v>
      </c>
      <c r="H7" t="n">
        <v>0.779630385950582</v>
      </c>
    </row>
    <row r="8" ht="15" customHeight="1" s="11">
      <c r="A8" s="16" t="inlineStr">
        <is>
          <t>Todas as entradas</t>
        </is>
      </c>
      <c r="B8" s="20" t="n">
        <v>149</v>
      </c>
      <c r="C8" s="17" t="n">
        <v>0.7632077165447135</v>
      </c>
      <c r="D8" s="17" t="n">
        <v>0.8972632196400208</v>
      </c>
      <c r="E8" s="17" t="n">
        <v>0.8936871362140634</v>
      </c>
      <c r="F8" s="17" t="n">
        <v>0.8738226252753021</v>
      </c>
      <c r="G8" s="17" t="n">
        <v>0.8738756641855787</v>
      </c>
      <c r="H8" t="n">
        <v>0.8242246656972562</v>
      </c>
    </row>
    <row r="9" ht="15" customHeight="1" s="11">
      <c r="A9" s="16" t="inlineStr">
        <is>
          <t>Dois anos</t>
        </is>
      </c>
      <c r="B9" s="20" t="n"/>
      <c r="C9" s="17" t="n"/>
      <c r="D9" s="17" t="n"/>
      <c r="E9" s="17" t="n"/>
      <c r="F9" s="17" t="n"/>
      <c r="G9" s="17" t="n"/>
    </row>
    <row r="10" ht="15" customHeight="1" s="11">
      <c r="A10" s="16" t="inlineStr">
        <is>
          <t>Somente por EBITDA negativo</t>
        </is>
      </c>
      <c r="B10" s="20" t="n">
        <v>52</v>
      </c>
      <c r="C10" s="17" t="n">
        <v>0.3772252879078695</v>
      </c>
      <c r="D10" s="17" t="n">
        <v>0.7194460080466559</v>
      </c>
      <c r="E10" s="17" t="n">
        <v>0.5221329174664107</v>
      </c>
      <c r="F10" s="17" t="n">
        <v>0.649544607264137</v>
      </c>
      <c r="G10" s="17" t="n">
        <v>0.5951111029086078</v>
      </c>
      <c r="H10" t="n">
        <v>0.61837673482947</v>
      </c>
    </row>
    <row r="11" ht="15" customHeight="1" s="11">
      <c r="A11" s="16" t="inlineStr">
        <is>
          <t>Patrimônio líquido negativo</t>
        </is>
      </c>
      <c r="B11" s="20" t="n">
        <v>63</v>
      </c>
      <c r="C11" s="17" t="n">
        <v>0.8066241659811716</v>
      </c>
      <c r="D11" s="17" t="n">
        <v>0.771337362520184</v>
      </c>
      <c r="E11" s="17" t="n">
        <v>0.8017339213356488</v>
      </c>
      <c r="F11" s="17" t="n">
        <v>0.7647804131249429</v>
      </c>
      <c r="G11" s="17" t="n">
        <v>0.829193705633245</v>
      </c>
      <c r="H11" t="n">
        <v>0.6779297291533376</v>
      </c>
    </row>
    <row r="12" ht="15" customHeight="1" s="11">
      <c r="A12" s="16" t="inlineStr">
        <is>
          <t>Recuperação judicial</t>
        </is>
      </c>
      <c r="B12" s="20" t="n">
        <v>17</v>
      </c>
      <c r="C12" s="17" t="n">
        <v>0.8065103872643107</v>
      </c>
      <c r="D12" s="17" t="n">
        <v>0.8503951676639947</v>
      </c>
      <c r="E12" s="17" t="n">
        <v>0.7664841368409168</v>
      </c>
      <c r="F12" s="17" t="n">
        <v>0.8593471265665575</v>
      </c>
      <c r="G12" s="17" t="n">
        <v>0.8259850965338151</v>
      </c>
      <c r="H12" t="n">
        <v>0.724398780625494</v>
      </c>
    </row>
    <row r="13" ht="15" customHeight="1" s="11">
      <c r="A13" s="16" t="inlineStr">
        <is>
          <t>Todas as entradas</t>
        </is>
      </c>
      <c r="B13" s="20" t="n">
        <v>126</v>
      </c>
      <c r="C13" s="17" t="n">
        <v>0.6267571519970752</v>
      </c>
      <c r="D13" s="17" t="n">
        <v>0.7554207415531792</v>
      </c>
      <c r="E13" s="17" t="n">
        <v>0.6812877022210035</v>
      </c>
      <c r="F13" s="17" t="n">
        <v>0.7264663878987296</v>
      </c>
      <c r="G13" s="17" t="n">
        <v>0.73071664686348</v>
      </c>
      <c r="H13" t="n">
        <v>0.6538250616945434</v>
      </c>
    </row>
    <row r="15" ht="15" customHeight="1" s="11">
      <c r="A15" s="19" t="inlineStr">
        <is>
          <t>Fonte: 09. Médias sobre dez atribuições. Em cada linha, os não eventos são todos os da amostra e os eventos apenas os do tipo indicado. MEB: margem EBITDA isolada, cuja condição define o critério de prejuízo operacional.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5"/>
  </cols>
  <sheetData>
    <row r="1" ht="15" customHeight="1" s="11">
      <c r="A1" s="14" t="inlineStr">
        <is>
          <t>Tabela 16 – Poder discriminante, peso e natureza da variação</t>
        </is>
      </c>
    </row>
    <row r="3" ht="30" customHeight="1" s="11">
      <c r="A3" s="15" t="inlineStr">
        <is>
          <t>Indicador</t>
        </is>
      </c>
      <c r="B3" s="15" t="inlineStr">
        <is>
          <t>KS</t>
        </is>
      </c>
      <c r="C3" s="15" t="inlineStr">
        <is>
          <t>Carga CP1</t>
        </is>
      </c>
      <c r="D3" s="15" t="inlineStr">
        <is>
          <t>Peso PLS</t>
        </is>
      </c>
      <c r="E3" s="15" t="inlineStr">
        <is>
          <t>Variância entre firmas</t>
        </is>
      </c>
    </row>
    <row r="4" ht="15" customHeight="1" s="11">
      <c r="A4" s="16" t="inlineStr">
        <is>
          <t>ROA</t>
        </is>
      </c>
      <c r="B4" s="21" t="n">
        <v>0.780783062873292</v>
      </c>
      <c r="C4" s="21" t="n">
        <v>0.48627472863789</v>
      </c>
      <c r="D4" s="21" t="n">
        <v>0.889077026811682</v>
      </c>
      <c r="E4" s="22" t="n">
        <v>0.452236234964863</v>
      </c>
    </row>
    <row r="5" ht="15" customHeight="1" s="11">
      <c r="A5" s="16" t="inlineStr">
        <is>
          <t>COB</t>
        </is>
      </c>
      <c r="B5" s="21" t="n">
        <v>0.774695135092589</v>
      </c>
      <c r="C5" s="21" t="n">
        <v>0.238113071125549</v>
      </c>
      <c r="D5" s="21" t="n">
        <v>0.168890555847401</v>
      </c>
      <c r="E5" s="22" t="n">
        <v>0.366110304900671</v>
      </c>
    </row>
    <row r="6" ht="15" customHeight="1" s="11">
      <c r="A6" s="16" t="inlineStr">
        <is>
          <t>MEB</t>
        </is>
      </c>
      <c r="B6" s="21" t="n">
        <v>0.68833033169227</v>
      </c>
      <c r="C6" s="21" t="n">
        <v>0.226029228081107</v>
      </c>
      <c r="D6" s="21" t="n">
        <v>0.301210882140014</v>
      </c>
      <c r="E6" s="22" t="n">
        <v>0.44151965006269</v>
      </c>
    </row>
    <row r="7" ht="15" customHeight="1" s="11">
      <c r="A7" s="16" t="inlineStr">
        <is>
          <t>CG</t>
        </is>
      </c>
      <c r="B7" s="21" t="n">
        <v>0.350637278695345</v>
      </c>
      <c r="C7" s="21" t="n">
        <v>0.531605179440876</v>
      </c>
      <c r="D7" s="21" t="n">
        <v>0.106855974215405</v>
      </c>
      <c r="E7" s="22" t="n">
        <v>0.608172927280216</v>
      </c>
    </row>
    <row r="8" ht="15" customHeight="1" s="11">
      <c r="A8" s="16" t="inlineStr">
        <is>
          <t>LC</t>
        </is>
      </c>
      <c r="B8" s="21" t="n">
        <v>0.342364181207915</v>
      </c>
      <c r="C8" s="21" t="n">
        <v>0.373227621659178</v>
      </c>
      <c r="D8" s="21" t="n">
        <v>0.195024162423581</v>
      </c>
      <c r="E8" s="22" t="n">
        <v>0.55753687407719</v>
      </c>
    </row>
    <row r="9" ht="15" customHeight="1" s="11">
      <c r="A9" s="16" t="inlineStr">
        <is>
          <t>FCO</t>
        </is>
      </c>
      <c r="B9" s="21" t="n">
        <v>0.323418235110018</v>
      </c>
      <c r="C9" s="21" t="n">
        <v>0.178921799723756</v>
      </c>
      <c r="D9" s="21" t="n">
        <v>0.00650744486255841</v>
      </c>
      <c r="E9" s="22" t="n">
        <v>0.287004851493431</v>
      </c>
    </row>
    <row r="10" ht="15" customHeight="1" s="11">
      <c r="A10" s="16" t="inlineStr">
        <is>
          <t>CP</t>
        </is>
      </c>
      <c r="B10" s="21" t="n">
        <v>0.30599872188187</v>
      </c>
      <c r="C10" s="21" t="n">
        <v>0.17114287593687</v>
      </c>
      <c r="D10" s="21" t="n">
        <v>0.20193913561241</v>
      </c>
      <c r="E10" s="22" t="n">
        <v>0.551880562359334</v>
      </c>
    </row>
    <row r="11" ht="15" customHeight="1" s="11">
      <c r="A11" s="16" t="inlineStr">
        <is>
          <t>ALV</t>
        </is>
      </c>
      <c r="B11" s="21" t="n">
        <v>0.176199453894981</v>
      </c>
      <c r="C11" s="21" t="n">
        <v>0.415384187135599</v>
      </c>
      <c r="D11" s="21" t="n">
        <v>0.00395481183124808</v>
      </c>
      <c r="E11" s="22" t="n">
        <v>0.682760454855237</v>
      </c>
    </row>
    <row r="13" ht="15" customHeight="1" s="11">
      <c r="A13" s="19" t="inlineStr">
        <is>
          <t>Fonte: 11. Estatísticas descritivas estimadas sobre a amostra completa.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28" customWidth="1" style="11" min="2" max="2"/>
  </cols>
  <sheetData>
    <row r="1">
      <c r="A1" s="12" t="inlineStr">
        <is>
          <t>Tabela 17 – Métricas de probabilidade e desempenho operacional</t>
        </is>
      </c>
    </row>
    <row r="3">
      <c r="A3" s="12" t="inlineStr">
        <is>
          <t>Horizonte</t>
        </is>
      </c>
      <c r="B3" s="12" t="inlineStr">
        <is>
          <t>Modelo</t>
        </is>
      </c>
      <c r="C3" s="12" t="inlineStr">
        <is>
          <t>AUC precisão-revocação</t>
        </is>
      </c>
      <c r="D3" s="12" t="inlineStr">
        <is>
          <t>Brier</t>
        </is>
      </c>
      <c r="E3" s="12" t="inlineStr">
        <is>
          <t>Inclinação</t>
        </is>
      </c>
      <c r="F3" s="12" t="inlineStr">
        <is>
          <t>Intercepto</t>
        </is>
      </c>
      <c r="G3" s="12" t="inlineStr">
        <is>
          <t>Sensibilidade</t>
        </is>
      </c>
      <c r="H3" s="12" t="inlineStr">
        <is>
          <t>Especificidade</t>
        </is>
      </c>
      <c r="I3" s="12" t="inlineStr">
        <is>
          <t>VPP</t>
        </is>
      </c>
      <c r="J3" s="12" t="inlineStr">
        <is>
          <t>VPN</t>
        </is>
      </c>
      <c r="K3" s="12" t="inlineStr">
        <is>
          <t>Firma-anos sinalizados</t>
        </is>
      </c>
      <c r="L3" s="12" t="inlineStr">
        <is>
          <t>Decisão líquida 5:1</t>
        </is>
      </c>
      <c r="M3" s="12" t="inlineStr">
        <is>
          <t>Decisão líquida 10:1</t>
        </is>
      </c>
      <c r="N3" s="12" t="inlineStr">
        <is>
          <t>Decisão líquida 20:1</t>
        </is>
      </c>
    </row>
    <row r="4">
      <c r="A4" t="inlineStr">
        <is>
          <t>um ano</t>
        </is>
      </c>
      <c r="B4" t="inlineStr">
        <is>
          <t>Árvores impulsionadas</t>
        </is>
      </c>
      <c r="C4" t="n">
        <v>0.2295344679757571</v>
      </c>
      <c r="D4" t="n">
        <v>0.02506581222288731</v>
      </c>
      <c r="E4" t="n">
        <v>1.086640234786473</v>
      </c>
      <c r="F4" t="n">
        <v>-0.02831372516967114</v>
      </c>
      <c r="G4" t="n">
        <v>0.785234899328859</v>
      </c>
      <c r="H4" t="n">
        <v>0.8462323871758219</v>
      </c>
      <c r="I4" t="n">
        <v>0.1344827586206896</v>
      </c>
      <c r="J4" t="n">
        <v>0.9923371647509579</v>
      </c>
      <c r="K4" t="n">
        <v>0.1724137931034483</v>
      </c>
      <c r="L4" t="n">
        <v>0.006024573919936584</v>
      </c>
      <c r="M4" t="n">
        <v>0.01080063416567578</v>
      </c>
      <c r="N4" t="n">
        <v>0.01603250099088387</v>
      </c>
    </row>
    <row r="5">
      <c r="A5" t="inlineStr">
        <is>
          <t>um ano</t>
        </is>
      </c>
      <c r="B5" t="inlineStr">
        <is>
          <t>Cobertura de juros</t>
        </is>
      </c>
      <c r="C5" t="n">
        <v>0.1844374990629637</v>
      </c>
      <c r="D5" t="n">
        <v>0.02561585837572898</v>
      </c>
      <c r="E5" t="n">
        <v>0.9879690002439582</v>
      </c>
      <c r="F5" t="n">
        <v>-0.004322604940026632</v>
      </c>
      <c r="G5" t="n">
        <v>0.785234899328859</v>
      </c>
      <c r="H5" t="n">
        <v>0.8311210945476822</v>
      </c>
      <c r="I5" t="n">
        <v>0.1239406779661017</v>
      </c>
      <c r="J5" t="n">
        <v>0.9921989273525109</v>
      </c>
      <c r="K5" t="n">
        <v>0.1870788743559255</v>
      </c>
      <c r="L5" t="n">
        <v>0.002695204122076893</v>
      </c>
      <c r="M5" t="n">
        <v>0.009274673008323424</v>
      </c>
      <c r="N5" t="n">
        <v>0.01489298454221165</v>
      </c>
    </row>
    <row r="6">
      <c r="A6" t="inlineStr">
        <is>
          <t>um ano</t>
        </is>
      </c>
      <c r="B6" t="inlineStr">
        <is>
          <t>Retorno sobre ativos</t>
        </is>
      </c>
      <c r="C6" t="n">
        <v>0.1753661270949595</v>
      </c>
      <c r="D6" t="n">
        <v>0.02597582725174593</v>
      </c>
      <c r="E6" t="n">
        <v>0.9931475518719396</v>
      </c>
      <c r="F6" t="n">
        <v>-0.004774228210969339</v>
      </c>
      <c r="G6" t="n">
        <v>0.7919463087248322</v>
      </c>
      <c r="H6" t="n">
        <v>0.8427608740044925</v>
      </c>
      <c r="I6" t="n">
        <v>0.1328828828828829</v>
      </c>
      <c r="J6" t="n">
        <v>0.9925444925444925</v>
      </c>
      <c r="K6" t="n">
        <v>0.1759809750297265</v>
      </c>
      <c r="L6" t="n">
        <v>0.002695204122076893</v>
      </c>
      <c r="M6" t="n">
        <v>0.008997225525168448</v>
      </c>
      <c r="N6" t="n">
        <v>0.01546769718588981</v>
      </c>
    </row>
    <row r="7">
      <c r="A7" t="inlineStr">
        <is>
          <t>um ano</t>
        </is>
      </c>
      <c r="B7" t="inlineStr">
        <is>
          <t>Mínimos quadrados parciais</t>
        </is>
      </c>
      <c r="C7" t="n">
        <v>0.1719750799692672</v>
      </c>
      <c r="D7" t="n">
        <v>0.02603112214350956</v>
      </c>
      <c r="E7" t="n">
        <v>1.07206022415256</v>
      </c>
      <c r="F7" t="n">
        <v>0.007250948427309378</v>
      </c>
      <c r="G7" t="n">
        <v>0.7919463087248322</v>
      </c>
      <c r="H7" t="n">
        <v>0.8100878088625689</v>
      </c>
      <c r="I7" t="n">
        <v>0.1125954198473282</v>
      </c>
      <c r="J7" t="n">
        <v>0.9922461230615308</v>
      </c>
      <c r="K7" t="n">
        <v>0.2076892588188664</v>
      </c>
      <c r="L7" t="n">
        <v>0.002338485929449069</v>
      </c>
      <c r="M7" t="n">
        <v>0.008085612366230677</v>
      </c>
      <c r="N7" t="n">
        <v>0.01439754260800634</v>
      </c>
    </row>
    <row r="8">
      <c r="A8" t="inlineStr">
        <is>
          <t>um ano</t>
        </is>
      </c>
      <c r="B8" t="inlineStr">
        <is>
          <t>Componentes principais (F)</t>
        </is>
      </c>
      <c r="C8" t="n">
        <v>0.1112965384710407</v>
      </c>
      <c r="D8" t="n">
        <v>0.02752650275823896</v>
      </c>
      <c r="E8" t="n">
        <v>0.9913595502153402</v>
      </c>
      <c r="F8" t="n">
        <v>-0.005980251387520434</v>
      </c>
      <c r="G8" t="n">
        <v>0.7986577181208053</v>
      </c>
      <c r="H8" t="n">
        <v>0.5699407800694303</v>
      </c>
      <c r="I8" t="n">
        <v>0.05348314606741573</v>
      </c>
      <c r="J8" t="n">
        <v>0.989365473236441</v>
      </c>
      <c r="K8" t="n">
        <v>0.4409433214427269</v>
      </c>
      <c r="L8" t="n">
        <v>0</v>
      </c>
      <c r="M8" t="n">
        <v>0.003032104637336504</v>
      </c>
      <c r="N8" t="n">
        <v>0.008531510107015458</v>
      </c>
    </row>
    <row r="9">
      <c r="A9" t="inlineStr">
        <is>
          <t>um ano</t>
        </is>
      </c>
      <c r="B9" t="inlineStr">
        <is>
          <t>Brito e Assaf Neto</t>
        </is>
      </c>
      <c r="C9" t="n">
        <v>0.09476579481990252</v>
      </c>
      <c r="D9" t="n">
        <v>0.02777774711172786</v>
      </c>
      <c r="E9" t="n">
        <v>1.075469920058045</v>
      </c>
      <c r="F9" t="n">
        <v>0.01462486734399807</v>
      </c>
      <c r="G9" t="n">
        <v>0.8187919463087249</v>
      </c>
      <c r="H9" t="n">
        <v>0.4617112517868083</v>
      </c>
      <c r="I9" t="n">
        <v>0.04423495286439449</v>
      </c>
      <c r="J9" t="n">
        <v>0.9881993006993007</v>
      </c>
      <c r="K9" t="n">
        <v>0.5465715418152992</v>
      </c>
      <c r="L9" t="n">
        <v>0</v>
      </c>
      <c r="M9" t="n">
        <v>0.001149425287356322</v>
      </c>
      <c r="N9" t="n">
        <v>0.009373761395164486</v>
      </c>
    </row>
    <row r="10">
      <c r="A10" t="inlineStr">
        <is>
          <t>um ano</t>
        </is>
      </c>
      <c r="B10" t="inlineStr">
        <is>
          <t>Referência sem informação</t>
        </is>
      </c>
      <c r="C10" t="n">
        <v>0.02952833927863655</v>
      </c>
      <c r="D10" t="n">
        <v>0.02865641645808228</v>
      </c>
    </row>
    <row r="11">
      <c r="A11" t="inlineStr">
        <is>
          <t>dois anos</t>
        </is>
      </c>
      <c r="B11" t="inlineStr">
        <is>
          <t>Árvores impulsionadas</t>
        </is>
      </c>
      <c r="C11" t="n">
        <v>0.08521677951450135</v>
      </c>
      <c r="D11" t="n">
        <v>0.02766025850960952</v>
      </c>
      <c r="E11" t="n">
        <v>1.158922573673336</v>
      </c>
      <c r="F11" t="n">
        <v>-0.06657935493350987</v>
      </c>
      <c r="G11" t="n">
        <v>0.8333333333333334</v>
      </c>
      <c r="H11" t="n">
        <v>0.4992802303262956</v>
      </c>
      <c r="I11" t="n">
        <v>0.0479014598540146</v>
      </c>
      <c r="J11" t="n">
        <v>0.9900095147478591</v>
      </c>
      <c r="K11" t="n">
        <v>0.5104797391709361</v>
      </c>
      <c r="L11" t="n">
        <v>0</v>
      </c>
      <c r="M11" t="n">
        <v>0.0003493246390312063</v>
      </c>
      <c r="N11" t="n">
        <v>0.00716115510013973</v>
      </c>
    </row>
    <row r="12">
      <c r="A12" t="inlineStr">
        <is>
          <t>dois anos</t>
        </is>
      </c>
      <c r="B12" t="inlineStr">
        <is>
          <t>Cobertura de juros</t>
        </is>
      </c>
      <c r="C12" t="n">
        <v>0.05062672744829048</v>
      </c>
      <c r="D12" t="n">
        <v>0.02815802062181195</v>
      </c>
      <c r="E12" t="n">
        <v>0.9483481095724542</v>
      </c>
      <c r="F12" t="n">
        <v>-0.004682623198508686</v>
      </c>
      <c r="G12" t="n">
        <v>0.8015873015873016</v>
      </c>
      <c r="H12" t="n">
        <v>0.4517754318618042</v>
      </c>
      <c r="I12" t="n">
        <v>0.04233025984911987</v>
      </c>
      <c r="J12" t="n">
        <v>0.9868972746331237</v>
      </c>
      <c r="K12" t="n">
        <v>0.5556590591523055</v>
      </c>
      <c r="L12" t="n">
        <v>0</v>
      </c>
      <c r="M12" t="n">
        <v>0</v>
      </c>
      <c r="N12" t="n">
        <v>0.003446669771774569</v>
      </c>
    </row>
    <row r="13">
      <c r="A13" t="inlineStr">
        <is>
          <t>dois anos</t>
        </is>
      </c>
      <c r="B13" t="inlineStr">
        <is>
          <t>Retorno sobre ativos</t>
        </is>
      </c>
      <c r="C13" t="n">
        <v>0.0657719994412717</v>
      </c>
      <c r="D13" t="n">
        <v>0.02788264124527806</v>
      </c>
      <c r="E13" t="n">
        <v>0.9751588747917186</v>
      </c>
      <c r="F13" t="n">
        <v>-0.002241119276739794</v>
      </c>
      <c r="G13" t="n">
        <v>0.8015873015873016</v>
      </c>
      <c r="H13" t="n">
        <v>0.5890115163147792</v>
      </c>
      <c r="I13" t="n">
        <v>0.05567805953693495</v>
      </c>
      <c r="J13" t="n">
        <v>0.9899193548387096</v>
      </c>
      <c r="K13" t="n">
        <v>0.4224499301350722</v>
      </c>
      <c r="L13" t="n">
        <v>0</v>
      </c>
      <c r="M13" t="n">
        <v>-0.0006054960409874245</v>
      </c>
      <c r="N13" t="n">
        <v>0.004413134606427572</v>
      </c>
    </row>
    <row r="14">
      <c r="A14" t="inlineStr">
        <is>
          <t>dois anos</t>
        </is>
      </c>
      <c r="B14" t="inlineStr">
        <is>
          <t>Mínimos quadrados parciais</t>
        </is>
      </c>
      <c r="C14" t="n">
        <v>0.0644946967358081</v>
      </c>
      <c r="D14" t="n">
        <v>0.02788026651722164</v>
      </c>
      <c r="E14" t="n">
        <v>1.075412988199589</v>
      </c>
      <c r="F14" t="n">
        <v>-0.008215222846687494</v>
      </c>
      <c r="G14" t="n">
        <v>0.7936507936507936</v>
      </c>
      <c r="H14" t="n">
        <v>0.5328694817658349</v>
      </c>
      <c r="I14" t="n">
        <v>0.04885197850512946</v>
      </c>
      <c r="J14" t="n">
        <v>0.9884290164663997</v>
      </c>
      <c r="K14" t="n">
        <v>0.4767116907312529</v>
      </c>
      <c r="L14" t="n">
        <v>0</v>
      </c>
      <c r="M14" t="n">
        <v>-0.000232883092687471</v>
      </c>
      <c r="N14" t="n">
        <v>0.006590591523055425</v>
      </c>
    </row>
    <row r="15">
      <c r="A15" t="inlineStr">
        <is>
          <t>dois anos</t>
        </is>
      </c>
      <c r="B15" t="inlineStr">
        <is>
          <t>Componentes principais (F)</t>
        </is>
      </c>
      <c r="C15" t="n">
        <v>0.05391257689226329</v>
      </c>
      <c r="D15" t="n">
        <v>0.02829360358512675</v>
      </c>
      <c r="E15" t="n">
        <v>0.9153978808503124</v>
      </c>
      <c r="F15" t="n">
        <v>-0.001851267795798534</v>
      </c>
      <c r="G15" t="n">
        <v>0.7936507936507936</v>
      </c>
      <c r="H15" t="n">
        <v>0.2881477927063339</v>
      </c>
      <c r="I15" t="n">
        <v>0.032605151613955</v>
      </c>
      <c r="J15" t="n">
        <v>0.9788101059494703</v>
      </c>
      <c r="K15" t="n">
        <v>0.7142524452724732</v>
      </c>
      <c r="L15" t="n">
        <v>0</v>
      </c>
      <c r="M15" t="n">
        <v>0</v>
      </c>
      <c r="N15" t="n">
        <v>0.003435025617140196</v>
      </c>
    </row>
    <row r="16">
      <c r="A16" t="inlineStr">
        <is>
          <t>dois anos</t>
        </is>
      </c>
      <c r="B16" t="inlineStr">
        <is>
          <t>Brito e Assaf Neto</t>
        </is>
      </c>
      <c r="C16" t="n">
        <v>0.06037014219553517</v>
      </c>
      <c r="D16" t="n">
        <v>0.02812598530144687</v>
      </c>
      <c r="E16" t="n">
        <v>1.260703044771871</v>
      </c>
      <c r="F16" t="n">
        <v>-0.008544417368427756</v>
      </c>
      <c r="G16" t="n">
        <v>0.8492063492063492</v>
      </c>
      <c r="H16" t="n">
        <v>0.2922264875239923</v>
      </c>
      <c r="I16" t="n">
        <v>0.03500163559044815</v>
      </c>
      <c r="J16" t="n">
        <v>0.98464025869038</v>
      </c>
      <c r="K16" t="n">
        <v>0.7119236143455985</v>
      </c>
      <c r="L16" t="n">
        <v>0</v>
      </c>
      <c r="M16" t="n">
        <v>0</v>
      </c>
      <c r="N16" t="n">
        <v>0.004843968327899395</v>
      </c>
    </row>
    <row r="17">
      <c r="A17" t="inlineStr">
        <is>
          <t>dois anos</t>
        </is>
      </c>
      <c r="B17" t="inlineStr">
        <is>
          <t>Referência sem informação</t>
        </is>
      </c>
      <c r="C17" t="n">
        <v>0.02934326967862133</v>
      </c>
      <c r="D17" t="n">
        <v>0.02848224220318903</v>
      </c>
    </row>
    <row r="19">
      <c r="A19" t="inlineStr">
        <is>
          <t>Fonte: 14. Calibração logística sobre o posto do escore na distribuição do treino; limiar que atinge sensibilidade de 80% nas firmas de treino, aplicado às de teste. Decisão líquida por firma-ano; a de não sinalizar ninguém é zero.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7"/>
  </cols>
  <sheetData>
    <row r="1" ht="15" customHeight="1" s="11">
      <c r="A1" s="14" t="inlineStr">
        <is>
          <t>Tabela 18 – Definições alternativas do evento</t>
        </is>
      </c>
    </row>
    <row r="3" ht="30" customHeight="1" s="11">
      <c r="A3" s="15" t="inlineStr">
        <is>
          <t>Definição</t>
        </is>
      </c>
      <c r="B3" s="15" t="inlineStr">
        <is>
          <t>Obs.</t>
        </is>
      </c>
      <c r="C3" s="15" t="inlineStr">
        <is>
          <t>Entradas</t>
        </is>
      </c>
      <c r="D3" s="15" t="inlineStr">
        <is>
          <t>Escore F</t>
        </is>
      </c>
      <c r="E3" s="15" t="inlineStr">
        <is>
          <t>Árvores</t>
        </is>
      </c>
      <c r="F3" s="15" t="inlineStr">
        <is>
          <t>Cobertura</t>
        </is>
      </c>
      <c r="G3" s="15" t="inlineStr">
        <is>
          <t>PLS</t>
        </is>
      </c>
    </row>
    <row r="4" ht="15" customHeight="1" s="11">
      <c r="A4" s="16" t="inlineStr">
        <is>
          <t>Definição principal</t>
        </is>
      </c>
      <c r="B4" s="23" t="n">
        <v>5046</v>
      </c>
      <c r="C4" s="20" t="n">
        <v>149</v>
      </c>
      <c r="D4" s="17" t="n">
        <v>0.7632077165447135</v>
      </c>
      <c r="E4" s="17" t="n">
        <v>0.8972632196400208</v>
      </c>
      <c r="F4" s="17" t="n">
        <v>0.8936871362140634</v>
      </c>
      <c r="G4" s="17" t="n">
        <v>0.8738226252753021</v>
      </c>
    </row>
    <row r="5" ht="15" customHeight="1" s="11">
      <c r="A5" s="16" t="inlineStr">
        <is>
          <t>Sem as entradas exclusivas do critério de EBITDA</t>
        </is>
      </c>
      <c r="B5" s="23" t="n">
        <v>4980</v>
      </c>
      <c r="C5" s="20" t="n">
        <v>83</v>
      </c>
      <c r="D5" s="17" t="n">
        <v>0.8566675933876409</v>
      </c>
      <c r="E5" s="17" t="n">
        <v>0.8571074988128951</v>
      </c>
      <c r="F5" s="17" t="n">
        <v>0.8306290303136171</v>
      </c>
      <c r="G5" s="17" t="n">
        <v>0.856184632341906</v>
      </c>
    </row>
    <row r="6" ht="15" customHeight="1" s="11">
      <c r="A6" s="16" t="inlineStr">
        <is>
          <t>Restritiva: PL negativo ou recuperação judicial</t>
        </is>
      </c>
      <c r="B6" s="23" t="n">
        <v>5575</v>
      </c>
      <c r="C6" s="20" t="n">
        <v>81</v>
      </c>
      <c r="D6" s="17" t="n">
        <v>0.8890547263681592</v>
      </c>
      <c r="E6" s="17" t="n">
        <v>0.9541473976099629</v>
      </c>
      <c r="F6" s="17" t="n">
        <v>0.9000357292130137</v>
      </c>
      <c r="G6" s="17" t="n">
        <v>0.9318841654419862</v>
      </c>
    </row>
    <row r="8" ht="15" customHeight="1" s="11">
      <c r="A8" s="19" t="inlineStr">
        <is>
          <t>Fonte: 08. Médias sobre dez atribuições, horizonte de um ano.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8"/>
  </cols>
  <sheetData>
    <row r="1" ht="15" customHeight="1" s="11">
      <c r="A1" s="14" t="inlineStr">
        <is>
          <t>Tabela 19 – Sensibilidade das conclusões principais</t>
        </is>
      </c>
    </row>
    <row r="3" ht="30" customHeight="1" s="11">
      <c r="A3" s="15" t="inlineStr">
        <is>
          <t>Especificação</t>
        </is>
      </c>
      <c r="B3" s="15" t="inlineStr">
        <is>
          <t>Obs.</t>
        </is>
      </c>
      <c r="C3" s="15" t="inlineStr">
        <is>
          <t>Entradas</t>
        </is>
      </c>
      <c r="D3" s="15" t="inlineStr">
        <is>
          <t>Escore F</t>
        </is>
      </c>
      <c r="E3" s="15" t="inlineStr">
        <is>
          <t>PLS</t>
        </is>
      </c>
      <c r="F3" s="15" t="inlineStr">
        <is>
          <t>Cobertura</t>
        </is>
      </c>
      <c r="G3" s="15" t="inlineStr">
        <is>
          <t>ROA</t>
        </is>
      </c>
      <c r="H3" s="15" t="inlineStr">
        <is>
          <t>PLS menos F</t>
        </is>
      </c>
    </row>
    <row r="4" ht="15" customHeight="1" s="11">
      <c r="A4" s="16" t="inlineStr">
        <is>
          <t>Especificação principal</t>
        </is>
      </c>
      <c r="B4" s="23" t="n">
        <v>5046</v>
      </c>
      <c r="C4" s="20" t="n">
        <v>149</v>
      </c>
      <c r="D4" s="17" t="n">
        <v>0.7642673983386623</v>
      </c>
      <c r="E4" s="17" t="n">
        <v>0.8752530312353954</v>
      </c>
      <c r="F4" s="17" t="n">
        <v>0.8936871362140634</v>
      </c>
      <c r="G4" s="17" t="n">
        <v>0.8738756641855786</v>
      </c>
      <c r="H4" s="18">
        <f>E4-D4</f>
        <v/>
      </c>
    </row>
    <row r="5" ht="15" customHeight="1" s="11">
      <c r="A5" s="16" t="inlineStr">
        <is>
          <t>Excluídas as entradas exclusivamente por recuperação judicial</t>
        </is>
      </c>
      <c r="B5" s="23" t="n">
        <v>5035</v>
      </c>
      <c r="C5" s="20" t="n">
        <v>138</v>
      </c>
      <c r="D5" s="17" t="n">
        <v>0.7592063167925941</v>
      </c>
      <c r="E5" s="17" t="n">
        <v>0.875920779655098</v>
      </c>
      <c r="F5" s="17" t="n">
        <v>0.8980194913774479</v>
      </c>
      <c r="G5" s="17" t="n">
        <v>0.873017493703628</v>
      </c>
      <c r="H5" s="18">
        <f>E5-D5</f>
        <v/>
      </c>
    </row>
    <row r="6" ht="15" customHeight="1" s="11">
      <c r="A6" s="16" t="inlineStr">
        <is>
          <t>Somente a primeira entrada de cada firma</t>
        </is>
      </c>
      <c r="B6" s="23" t="n">
        <v>4629</v>
      </c>
      <c r="C6" s="20" t="n">
        <v>130</v>
      </c>
      <c r="D6" s="17" t="n">
        <v>0.7893241233094533</v>
      </c>
      <c r="E6" s="17" t="n">
        <v>0.8970848222681963</v>
      </c>
      <c r="F6" s="17" t="n">
        <v>0.9065142681279601</v>
      </c>
      <c r="G6" s="17" t="n">
        <v>0.8868004855779917</v>
      </c>
      <c r="H6" s="18">
        <f>E6-D6</f>
        <v/>
      </c>
    </row>
    <row r="7" ht="15" customHeight="1" s="11">
      <c r="A7" s="16" t="inlineStr">
        <is>
          <t>Saídas associadas a distress tratadas como evento</t>
        </is>
      </c>
      <c r="B7" s="23" t="n">
        <v>5055</v>
      </c>
      <c r="C7" s="20" t="n">
        <v>158</v>
      </c>
      <c r="D7" s="17" t="n">
        <v>0.7705428019738254</v>
      </c>
      <c r="E7" s="17" t="n">
        <v>0.8796395623256812</v>
      </c>
      <c r="F7" s="17" t="n">
        <v>0.8962235985348819</v>
      </c>
      <c r="G7" s="17" t="n">
        <v>0.876524764580743</v>
      </c>
      <c r="H7" s="18">
        <f>E7-D7</f>
        <v/>
      </c>
    </row>
    <row r="8" ht="15" customHeight="1" s="11">
      <c r="A8" t="inlineStr">
        <is>
          <t>Saídas por dificuldade financeira segundo o cadastro, como evento</t>
        </is>
      </c>
      <c r="B8" t="n">
        <v>5057</v>
      </c>
      <c r="C8" t="n">
        <v>160</v>
      </c>
      <c r="D8" t="n">
        <v>0.7618031447825199</v>
      </c>
      <c r="E8" t="n">
        <v>0.8717365223606289</v>
      </c>
      <c r="F8" t="n">
        <v>0.8885829334286298</v>
      </c>
      <c r="G8" t="n">
        <v>0.8708890647335104</v>
      </c>
      <c r="H8">
        <f>E8-D8</f>
        <v/>
      </c>
    </row>
    <row r="9">
      <c r="A9" s="16" t="inlineStr">
        <is>
          <t>Somente firmas com registro ativo ao fim do período</t>
        </is>
      </c>
      <c r="B9" s="23" t="n">
        <v>4201</v>
      </c>
      <c r="C9" s="20" t="n">
        <v>104</v>
      </c>
      <c r="D9" s="17" t="n">
        <v>0.744979910253281</v>
      </c>
      <c r="E9" s="17" t="n">
        <v>0.8900461876419894</v>
      </c>
      <c r="F9" s="17" t="n">
        <v>0.9097662924090798</v>
      </c>
      <c r="G9" s="17" t="n">
        <v>0.8922499577552055</v>
      </c>
      <c r="H9" s="18">
        <f>E9-D9</f>
        <v/>
      </c>
    </row>
    <row r="10" ht="15" customHeight="1" s="11"/>
    <row r="11">
      <c r="A11" s="19" t="inlineStr">
        <is>
          <t>Fonte: 04, 05 e 07. Horizonte de um ano, atribuição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3"/>
  </cols>
  <sheetData>
    <row r="1" ht="15" customHeight="1" s="11">
      <c r="A1" s="14" t="inlineStr">
        <is>
          <t>Tabela 20 – Efeito da inclusão de defasagens e variações</t>
        </is>
      </c>
    </row>
    <row r="3" ht="30" customHeight="1" s="11">
      <c r="A3" s="15" t="inlineStr">
        <is>
          <t>Especificação</t>
        </is>
      </c>
      <c r="B3" s="15" t="inlineStr">
        <is>
          <t>AUC fora da amostra</t>
        </is>
      </c>
      <c r="C3" s="15" t="inlineStr">
        <is>
          <t>Diferença</t>
        </is>
      </c>
    </row>
    <row r="4" ht="15" customHeight="1" s="11">
      <c r="A4" s="16" t="inlineStr">
        <is>
          <t>Escore sintético em nível</t>
        </is>
      </c>
      <c r="B4" s="17" t="n">
        <v>0.7626858246317085</v>
      </c>
      <c r="C4" s="18" t="n"/>
    </row>
    <row r="5" ht="15" customHeight="1" s="11">
      <c r="A5" s="16" t="inlineStr">
        <is>
          <t>Escore em nível e defasado</t>
        </is>
      </c>
      <c r="B5" s="17" t="n">
        <v>0.7786591708661514</v>
      </c>
      <c r="C5" s="18">
        <f>B5-B4</f>
        <v/>
      </c>
    </row>
    <row r="6" ht="15" customHeight="1" s="11">
      <c r="A6" s="16" t="inlineStr">
        <is>
          <t>Cobertura de juros em nível</t>
        </is>
      </c>
      <c r="B6" s="17" t="n">
        <v>0.8860410359444832</v>
      </c>
      <c r="C6" s="18" t="n"/>
    </row>
    <row r="7" ht="15" customHeight="1" s="11">
      <c r="A7" s="16" t="inlineStr">
        <is>
          <t>Cobertura em nível e defasada</t>
        </is>
      </c>
      <c r="B7" s="17" t="n">
        <v>0.8855915071958863</v>
      </c>
      <c r="C7" s="18">
        <f>B7-B6</f>
        <v/>
      </c>
    </row>
    <row r="8" ht="15" customHeight="1" s="11">
      <c r="A8" s="16" t="inlineStr">
        <is>
          <t>Escore supervisionado, oito níveis</t>
        </is>
      </c>
      <c r="B8" s="17" t="n">
        <v>0.8759835154518655</v>
      </c>
      <c r="C8" s="18" t="n"/>
    </row>
    <row r="9" ht="15" customHeight="1" s="11">
      <c r="A9" s="16" t="inlineStr">
        <is>
          <t>Escore supervisionado, oito níveis e oito variações</t>
        </is>
      </c>
      <c r="B9" s="17" t="n">
        <v>0.8533371342268175</v>
      </c>
      <c r="C9" s="18">
        <f>B9-B8</f>
        <v/>
      </c>
    </row>
    <row r="11" ht="15" customHeight="1" s="11">
      <c r="A11" s="19" t="inlineStr">
        <is>
          <t>Fonte: 05. Amostra de 5046 observações e 149 entradas; probit dentro de cada partição.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6"/>
  </cols>
  <sheetData>
    <row r="1" ht="15" customHeight="1" s="11">
      <c r="A1" s="14" t="inlineStr">
        <is>
          <t>Estabilidade entre dez atribuições, horizonte de um ano</t>
        </is>
      </c>
    </row>
    <row r="3" ht="30" customHeight="1" s="11">
      <c r="A3" s="15" t="inlineStr">
        <is>
          <t>Atribuição</t>
        </is>
      </c>
      <c r="B3" s="15" t="inlineStr">
        <is>
          <t>PCA (F)</t>
        </is>
      </c>
      <c r="C3" s="15" t="inlineStr">
        <is>
          <t>PLS</t>
        </is>
      </c>
      <c r="D3" s="15" t="inlineStr">
        <is>
          <t>Árvores</t>
        </is>
      </c>
      <c r="E3" s="15" t="inlineStr">
        <is>
          <t>Brito e Assaf</t>
        </is>
      </c>
      <c r="F3" s="15" t="inlineStr">
        <is>
          <t>PLS menos F</t>
        </is>
      </c>
    </row>
    <row r="4" ht="15" customHeight="1" s="11">
      <c r="A4" s="16" t="inlineStr">
        <is>
          <t>Atribuição 1</t>
        </is>
      </c>
      <c r="B4" s="17" t="n">
        <v>0.7642673983386623</v>
      </c>
      <c r="C4" s="17" t="n">
        <v>0.8752530312353954</v>
      </c>
      <c r="D4" s="17" t="n">
        <v>0.8969839087895205</v>
      </c>
      <c r="E4" s="17" t="n">
        <v>0.7344984533744122</v>
      </c>
      <c r="F4" s="18">
        <f>C4-B4</f>
        <v/>
      </c>
    </row>
    <row r="5" ht="15" customHeight="1" s="11">
      <c r="A5" s="16" t="inlineStr">
        <is>
          <t>Atribuição 2</t>
        </is>
      </c>
      <c r="B5" s="17" t="n">
        <v>0.7646511423923427</v>
      </c>
      <c r="C5" s="17" t="n">
        <v>0.8747240126471076</v>
      </c>
      <c r="D5" s="17" t="n">
        <v>0.8904170886709162</v>
      </c>
      <c r="E5" s="17" t="n">
        <v>0.7391102345909631</v>
      </c>
      <c r="F5" s="18">
        <f>C5-B5</f>
        <v/>
      </c>
    </row>
    <row r="6" ht="15" customHeight="1" s="11">
      <c r="A6" s="16" t="inlineStr">
        <is>
          <t>Atribuição 3</t>
        </is>
      </c>
      <c r="B6" s="17" t="n">
        <v>0.7612125215684716</v>
      </c>
      <c r="C6" s="17" t="n">
        <v>0.8741922530298649</v>
      </c>
      <c r="D6" s="17" t="n">
        <v>0.905770962361561</v>
      </c>
      <c r="E6" s="17" t="n">
        <v>0.7334280815675397</v>
      </c>
      <c r="F6" s="18">
        <f>C6-B6</f>
        <v/>
      </c>
    </row>
    <row r="7" ht="15" customHeight="1" s="11">
      <c r="A7" s="16" t="inlineStr">
        <is>
          <t>Atribuição 4</t>
        </is>
      </c>
      <c r="B7" s="17" t="n">
        <v>0.7621801047895369</v>
      </c>
      <c r="C7" s="17" t="n">
        <v>0.877347177356908</v>
      </c>
      <c r="D7" s="17" t="n">
        <v>0.8955866692797809</v>
      </c>
      <c r="E7" s="17" t="n">
        <v>0.7336076189640829</v>
      </c>
      <c r="F7" s="18">
        <f>C7-B7</f>
        <v/>
      </c>
    </row>
    <row r="8" ht="15" customHeight="1" s="11">
      <c r="A8" s="16" t="inlineStr">
        <is>
          <t>Atribuição 5</t>
        </is>
      </c>
      <c r="B8" s="17" t="n">
        <v>0.7652185353859986</v>
      </c>
      <c r="C8" s="17" t="n">
        <v>0.8687088246056687</v>
      </c>
      <c r="D8" s="17" t="n">
        <v>0.8922378171541815</v>
      </c>
      <c r="E8" s="17" t="n">
        <v>0.7054654746845418</v>
      </c>
      <c r="F8" s="18">
        <f>C8-B8</f>
        <v/>
      </c>
    </row>
    <row r="9" ht="15" customHeight="1" s="11">
      <c r="A9" s="16" t="inlineStr">
        <is>
          <t>Atribuição 6</t>
        </is>
      </c>
      <c r="B9" s="17" t="n">
        <v>0.7625940001617207</v>
      </c>
      <c r="C9" s="17" t="n">
        <v>0.8750885694981039</v>
      </c>
      <c r="D9" s="17" t="n">
        <v>0.9002519005609516</v>
      </c>
      <c r="E9" s="17" t="n">
        <v>0.7277130361966578</v>
      </c>
      <c r="F9" s="18">
        <f>C9-B9</f>
        <v/>
      </c>
    </row>
    <row r="10" ht="15" customHeight="1" s="11">
      <c r="A10" s="16" t="inlineStr">
        <is>
          <t>Atribuição 7</t>
        </is>
      </c>
      <c r="B10" s="17" t="n">
        <v>0.7602668665790451</v>
      </c>
      <c r="C10" s="17" t="n">
        <v>0.8700861916554855</v>
      </c>
      <c r="D10" s="17" t="n">
        <v>0.8994330181606873</v>
      </c>
      <c r="E10" s="17" t="n">
        <v>0.7252241819056455</v>
      </c>
      <c r="F10" s="18">
        <f>C10-B10</f>
        <v/>
      </c>
    </row>
    <row r="11" ht="15" customHeight="1" s="11">
      <c r="A11" s="16" t="inlineStr">
        <is>
          <t>Atribuição 8</t>
        </is>
      </c>
      <c r="B11" s="17" t="n">
        <v>0.7638192401045428</v>
      </c>
      <c r="C11" s="17" t="n">
        <v>0.8754024173134353</v>
      </c>
      <c r="D11" s="17" t="n">
        <v>0.8989204457461286</v>
      </c>
      <c r="E11" s="17" t="n">
        <v>0.7316340781165842</v>
      </c>
      <c r="F11" s="18">
        <f>C11-B11</f>
        <v/>
      </c>
    </row>
    <row r="12" ht="15" customHeight="1" s="11">
      <c r="A12" s="16" t="inlineStr">
        <is>
          <t>Atribuição 9</t>
        </is>
      </c>
      <c r="B12" s="17" t="n">
        <v>0.7648745362521637</v>
      </c>
      <c r="C12" s="17" t="n">
        <v>0.876013666770369</v>
      </c>
      <c r="D12" s="17" t="n">
        <v>0.8942250631464546</v>
      </c>
      <c r="E12" s="17" t="n">
        <v>0.7059204854910485</v>
      </c>
      <c r="F12" s="18">
        <f>C12-B12</f>
        <v/>
      </c>
    </row>
    <row r="13" ht="15" customHeight="1" s="11">
      <c r="A13" s="16" t="inlineStr">
        <is>
          <t>Atribuição 10</t>
        </is>
      </c>
      <c r="B13" s="17" t="n">
        <v>0.7629928198746527</v>
      </c>
      <c r="C13" s="17" t="n">
        <v>0.8714101086406826</v>
      </c>
      <c r="D13" s="17" t="n">
        <v>0.8988053225300245</v>
      </c>
      <c r="E13" s="17" t="n">
        <v>0.7175301136293554</v>
      </c>
      <c r="F13" s="18">
        <f>C13-B13</f>
        <v/>
      </c>
    </row>
    <row r="14" ht="15" customHeight="1" s="11">
      <c r="A14" s="16" t="inlineStr">
        <is>
          <t>Média</t>
        </is>
      </c>
      <c r="B14" s="17">
        <f>AVERAGE(B4:B13)</f>
        <v/>
      </c>
      <c r="C14" s="17">
        <f>AVERAGE(C4:C13)</f>
        <v/>
      </c>
      <c r="D14" s="17">
        <f>AVERAGE(D4:D13)</f>
        <v/>
      </c>
      <c r="E14" s="17">
        <f>AVERAGE(E4:E13)</f>
        <v/>
      </c>
      <c r="F14" s="18">
        <f>AVERAGE(F4:F13)</f>
        <v/>
      </c>
    </row>
    <row r="15" ht="15" customHeight="1" s="11">
      <c r="A15" s="16" t="inlineStr">
        <is>
          <t>Desvio-padrão</t>
        </is>
      </c>
      <c r="B15" s="17">
        <f>STDEV(B4:B13)</f>
        <v/>
      </c>
      <c r="C15" s="17">
        <f>STDEV(C4:C13)</f>
        <v/>
      </c>
      <c r="D15" s="17">
        <f>STDEV(D4:D13)</f>
        <v/>
      </c>
      <c r="E15" s="17">
        <f>STDEV(E4:E13)</f>
        <v/>
      </c>
      <c r="F15" s="18">
        <f>STDEV(F4:F13)</f>
        <v/>
      </c>
    </row>
    <row r="16" ht="15" customHeight="1" s="11">
      <c r="A16" s="16" t="inlineStr">
        <is>
          <t>Mínimo</t>
        </is>
      </c>
      <c r="B16" s="17">
        <f>MIN(B4:B13)</f>
        <v/>
      </c>
      <c r="C16" s="17">
        <f>MIN(C4:C13)</f>
        <v/>
      </c>
      <c r="D16" s="17">
        <f>MIN(D4:D13)</f>
        <v/>
      </c>
      <c r="E16" s="17">
        <f>MIN(E4:E13)</f>
        <v/>
      </c>
      <c r="F16" s="18">
        <f>MIN(F4:F13)</f>
        <v/>
      </c>
    </row>
    <row r="18" ht="15" customHeight="1" s="11">
      <c r="A18" s="19" t="inlineStr">
        <is>
          <t>Fonte: 01. A atribuição 1 é a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6"/>
  </cols>
  <sheetData>
    <row r="1" ht="15" customHeight="1" s="11">
      <c r="A1" s="14" t="inlineStr">
        <is>
          <t>Estabilidade entre dez atribuições, horizonte de dois anos</t>
        </is>
      </c>
    </row>
    <row r="3" ht="30" customHeight="1" s="11">
      <c r="A3" s="15" t="inlineStr">
        <is>
          <t>Atribuição</t>
        </is>
      </c>
      <c r="B3" s="15" t="inlineStr">
        <is>
          <t>PCA (F)</t>
        </is>
      </c>
      <c r="C3" s="15" t="inlineStr">
        <is>
          <t>PLS</t>
        </is>
      </c>
      <c r="D3" s="15" t="inlineStr">
        <is>
          <t>Árvores</t>
        </is>
      </c>
      <c r="E3" s="15" t="inlineStr">
        <is>
          <t>Brito e Assaf</t>
        </is>
      </c>
      <c r="F3" s="15" t="inlineStr">
        <is>
          <t>PLS menos F</t>
        </is>
      </c>
    </row>
    <row r="4" ht="15" customHeight="1" s="11">
      <c r="A4" s="16" t="inlineStr">
        <is>
          <t>Atribuição 1</t>
        </is>
      </c>
      <c r="B4" s="17" t="n">
        <v>0.6266128172318192</v>
      </c>
      <c r="C4" s="17" t="n">
        <v>0.7247547451482192</v>
      </c>
      <c r="D4" s="17" t="n">
        <v>0.7525839350455473</v>
      </c>
      <c r="E4" s="17" t="n">
        <v>0.667237912439448</v>
      </c>
      <c r="F4" s="18">
        <f>C4-B4</f>
        <v/>
      </c>
    </row>
    <row r="5" ht="15" customHeight="1" s="11">
      <c r="A5" s="16" t="inlineStr">
        <is>
          <t>Atribuição 2</t>
        </is>
      </c>
      <c r="B5" s="17" t="n">
        <v>0.6269955518995826</v>
      </c>
      <c r="C5" s="17" t="n">
        <v>0.720032446759894</v>
      </c>
      <c r="D5" s="17" t="n">
        <v>0.7710380297352466</v>
      </c>
      <c r="E5" s="17" t="n">
        <v>0.6679157907564818</v>
      </c>
      <c r="F5" s="18">
        <f>C5-B5</f>
        <v/>
      </c>
    </row>
    <row r="6" ht="15" customHeight="1" s="11">
      <c r="A6" s="16" t="inlineStr">
        <is>
          <t>Atribuição 3</t>
        </is>
      </c>
      <c r="B6" s="17" t="n">
        <v>0.6257235779788562</v>
      </c>
      <c r="C6" s="17" t="n">
        <v>0.7374383054565397</v>
      </c>
      <c r="D6" s="17" t="n">
        <v>0.7616648386801937</v>
      </c>
      <c r="E6" s="17" t="n">
        <v>0.6671065259117083</v>
      </c>
      <c r="F6" s="18">
        <f>C6-B6</f>
        <v/>
      </c>
    </row>
    <row r="7" ht="15" customHeight="1" s="11">
      <c r="A7" s="16" t="inlineStr">
        <is>
          <t>Atribuição 4</t>
        </is>
      </c>
      <c r="B7" s="17" t="n">
        <v>0.6262548365475429</v>
      </c>
      <c r="C7" s="17" t="n">
        <v>0.7258286872010481</v>
      </c>
      <c r="D7" s="17" t="n">
        <v>0.7624036498796576</v>
      </c>
      <c r="E7" s="17" t="n">
        <v>0.677398470584651</v>
      </c>
      <c r="F7" s="18">
        <f>C7-B7</f>
        <v/>
      </c>
    </row>
    <row r="8" ht="15" customHeight="1" s="11">
      <c r="A8" s="16" t="inlineStr">
        <is>
          <t>Atribuição 5</t>
        </is>
      </c>
      <c r="B8" s="17" t="n">
        <v>0.6276353471650976</v>
      </c>
      <c r="C8" s="17" t="n">
        <v>0.7234389757182463</v>
      </c>
      <c r="D8" s="17" t="n">
        <v>0.7543909758401122</v>
      </c>
      <c r="E8" s="17" t="n">
        <v>0.6658155104652226</v>
      </c>
      <c r="F8" s="18">
        <f>C8-B8</f>
        <v/>
      </c>
    </row>
    <row r="9" ht="15" customHeight="1" s="11">
      <c r="A9" s="16" t="inlineStr">
        <is>
          <t>Atribuição 6</t>
        </is>
      </c>
      <c r="B9" s="17" t="n">
        <v>0.6266623251987935</v>
      </c>
      <c r="C9" s="17" t="n">
        <v>0.7237950522499467</v>
      </c>
      <c r="D9" s="17" t="n">
        <v>0.747254211985498</v>
      </c>
      <c r="E9" s="17" t="n">
        <v>0.6692391767967584</v>
      </c>
      <c r="F9" s="18">
        <f>C9-B9</f>
        <v/>
      </c>
    </row>
    <row r="10" ht="15" customHeight="1" s="11">
      <c r="A10" s="16" t="inlineStr">
        <is>
          <t>Atribuição 7</t>
        </is>
      </c>
      <c r="B10" s="17" t="n">
        <v>0.6268356030832039</v>
      </c>
      <c r="C10" s="17" t="n">
        <v>0.7291019254790848</v>
      </c>
      <c r="D10" s="17" t="n">
        <v>0.7652351247600768</v>
      </c>
      <c r="E10" s="17" t="n">
        <v>0.6709433933522225</v>
      </c>
      <c r="F10" s="18">
        <f>C10-B10</f>
        <v/>
      </c>
    </row>
    <row r="11" ht="15" customHeight="1" s="11">
      <c r="A11" s="16" t="inlineStr">
        <is>
          <t>Atribuição 8</t>
        </is>
      </c>
      <c r="B11" s="17" t="n">
        <v>0.6266509002833379</v>
      </c>
      <c r="C11" s="17" t="n">
        <v>0.7338584986137769</v>
      </c>
      <c r="D11" s="17" t="n">
        <v>0.7338708756055206</v>
      </c>
      <c r="E11" s="17" t="n">
        <v>0.6637456966151783</v>
      </c>
      <c r="F11" s="18">
        <f>C11-B11</f>
        <v/>
      </c>
    </row>
    <row r="12" ht="15" customHeight="1" s="11">
      <c r="A12" s="16" t="inlineStr">
        <is>
          <t>Atribuição 9</t>
        </is>
      </c>
      <c r="B12" s="17" t="n">
        <v>0.6288521006611217</v>
      </c>
      <c r="C12" s="17" t="n">
        <v>0.7228067970630351</v>
      </c>
      <c r="D12" s="17" t="n">
        <v>0.7528219541175395</v>
      </c>
      <c r="E12" s="17" t="n">
        <v>0.6538231575419675</v>
      </c>
      <c r="F12" s="18">
        <f>C12-B12</f>
        <v/>
      </c>
    </row>
    <row r="13" ht="15" customHeight="1" s="11">
      <c r="A13" s="16" t="inlineStr">
        <is>
          <t>Atribuição 10</t>
        </is>
      </c>
      <c r="B13" s="17" t="n">
        <v>0.6253484599213965</v>
      </c>
      <c r="C13" s="17" t="n">
        <v>0.7236084452975048</v>
      </c>
      <c r="D13" s="17" t="n">
        <v>0.7529438198823996</v>
      </c>
      <c r="E13" s="17" t="n">
        <v>0.6545943393352223</v>
      </c>
      <c r="F13" s="18">
        <f>C13-B13</f>
        <v/>
      </c>
    </row>
    <row r="14" ht="15" customHeight="1" s="11">
      <c r="A14" s="16" t="inlineStr">
        <is>
          <t>Média</t>
        </is>
      </c>
      <c r="B14" s="17">
        <f>AVERAGE(B4:B13)</f>
        <v/>
      </c>
      <c r="C14" s="17">
        <f>AVERAGE(C4:C13)</f>
        <v/>
      </c>
      <c r="D14" s="17">
        <f>AVERAGE(D4:D13)</f>
        <v/>
      </c>
      <c r="E14" s="17">
        <f>AVERAGE(E4:E13)</f>
        <v/>
      </c>
      <c r="F14" s="18">
        <f>AVERAGE(F4:F13)</f>
        <v/>
      </c>
    </row>
    <row r="15" ht="15" customHeight="1" s="11">
      <c r="A15" s="16" t="inlineStr">
        <is>
          <t>Desvio-padrão</t>
        </is>
      </c>
      <c r="B15" s="17">
        <f>STDEV(B4:B13)</f>
        <v/>
      </c>
      <c r="C15" s="17">
        <f>STDEV(C4:C13)</f>
        <v/>
      </c>
      <c r="D15" s="17">
        <f>STDEV(D4:D13)</f>
        <v/>
      </c>
      <c r="E15" s="17">
        <f>STDEV(E4:E13)</f>
        <v/>
      </c>
      <c r="F15" s="18">
        <f>STDEV(F4:F13)</f>
        <v/>
      </c>
    </row>
    <row r="16" ht="15" customHeight="1" s="11">
      <c r="A16" s="16" t="inlineStr">
        <is>
          <t>Mínimo</t>
        </is>
      </c>
      <c r="B16" s="17">
        <f>MIN(B4:B13)</f>
        <v/>
      </c>
      <c r="C16" s="17">
        <f>MIN(C4:C13)</f>
        <v/>
      </c>
      <c r="D16" s="17">
        <f>MIN(D4:D13)</f>
        <v/>
      </c>
      <c r="E16" s="17">
        <f>MIN(E4:E13)</f>
        <v/>
      </c>
      <c r="F16" s="18">
        <f>MIN(F4:F13)</f>
        <v/>
      </c>
    </row>
    <row r="18" ht="15" customHeight="1" s="11">
      <c r="A18" s="19" t="inlineStr">
        <is>
          <t>Fonte: 01. A atribuição 1 é a de referência.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9"/>
  </cols>
  <sheetData>
    <row r="1" ht="15" customHeight="1" s="11">
      <c r="A1" s="14" t="inlineStr">
        <is>
          <t>Tabela 14 – Diferenças em relação ao escore sintético, subconjuntos puros</t>
        </is>
      </c>
    </row>
    <row r="3" ht="30" customHeight="1" s="11">
      <c r="A3" s="15" t="inlineStr">
        <is>
          <t>Tipo de entrada</t>
        </is>
      </c>
      <c r="B3" s="15" t="inlineStr">
        <is>
          <t>Entradas</t>
        </is>
      </c>
      <c r="C3" s="15" t="inlineStr">
        <is>
          <t>Escore F</t>
        </is>
      </c>
      <c r="D3" s="15" t="inlineStr">
        <is>
          <t>Cobertura menos F</t>
        </is>
      </c>
      <c r="E3" s="15" t="inlineStr">
        <is>
          <t>IC inferior</t>
        </is>
      </c>
      <c r="F3" s="15" t="inlineStr">
        <is>
          <t>IC superior</t>
        </is>
      </c>
      <c r="G3" s="15" t="inlineStr">
        <is>
          <t>PLS menos F</t>
        </is>
      </c>
      <c r="H3" s="15" t="inlineStr">
        <is>
          <t>IC inferior</t>
        </is>
      </c>
      <c r="I3" s="15" t="inlineStr">
        <is>
          <t>IC superior</t>
        </is>
      </c>
    </row>
    <row r="4" ht="15" customHeight="1" s="11">
      <c r="A4" s="16" t="inlineStr">
        <is>
          <t>Prejuízo operacional, um ano</t>
        </is>
      </c>
      <c r="B4" s="20" t="n">
        <v>66</v>
      </c>
      <c r="C4" s="17" t="n">
        <v>0.6489099696165247</v>
      </c>
      <c r="D4" s="18" t="n">
        <v>0.3240775118965847</v>
      </c>
      <c r="E4" s="18" t="n">
        <v>0.2441001087008582</v>
      </c>
      <c r="F4" s="18" t="n">
        <v>0.4113477358132478</v>
      </c>
      <c r="G4" s="18" t="n">
        <v>0.2906479539111763</v>
      </c>
      <c r="H4" s="18" t="n">
        <v>0.2169267391522895</v>
      </c>
      <c r="I4" s="18" t="n">
        <v>0.3713797698784761</v>
      </c>
    </row>
    <row r="5" ht="15" customHeight="1" s="11">
      <c r="A5" s="16" t="inlineStr">
        <is>
          <t>Patrimônio negativo, um ano</t>
        </is>
      </c>
      <c r="B5" s="20" t="n">
        <v>51</v>
      </c>
      <c r="C5" s="17" t="n">
        <v>0.816061854596852</v>
      </c>
      <c r="D5" s="18" t="n">
        <v>-0.02956792273781061</v>
      </c>
      <c r="E5" s="18" t="n">
        <v>-0.09311508603706418</v>
      </c>
      <c r="F5" s="18" t="n">
        <v>0.03786911761045506</v>
      </c>
      <c r="G5" s="18" t="n">
        <v>-0.0658906813695459</v>
      </c>
      <c r="H5" s="18" t="n">
        <v>-0.1288713063873238</v>
      </c>
      <c r="I5" s="18" t="n">
        <v>-0.003360119759590024</v>
      </c>
    </row>
    <row r="6" ht="15" customHeight="1" s="11">
      <c r="A6" s="16" t="inlineStr">
        <is>
          <t>Recuperação judicial, um ano</t>
        </is>
      </c>
      <c r="B6" s="20" t="n">
        <v>11</v>
      </c>
      <c r="C6" s="17" t="n">
        <v>0.8277609668257003</v>
      </c>
      <c r="D6" s="18" t="n">
        <v>0.01157480461135763</v>
      </c>
      <c r="E6" s="18" t="n">
        <v>-0.09660755535743742</v>
      </c>
      <c r="F6" s="18" t="n">
        <v>0.1166857701718687</v>
      </c>
      <c r="G6" s="18" t="n">
        <v>0.06276570070729759</v>
      </c>
      <c r="H6" s="18" t="n">
        <v>-0.0006642813098388315</v>
      </c>
      <c r="I6" s="18" t="n">
        <v>0.1363261090615032</v>
      </c>
    </row>
    <row r="7" ht="15" customHeight="1" s="11">
      <c r="A7" s="16" t="inlineStr">
        <is>
          <t>Prejuízo operacional, dois anos</t>
        </is>
      </c>
      <c r="B7" s="20" t="n">
        <v>52</v>
      </c>
      <c r="C7" s="17" t="n">
        <v>0.3774961243171416</v>
      </c>
      <c r="D7" s="18" t="n">
        <v>0.1446367931492692</v>
      </c>
      <c r="E7" s="18" t="n">
        <v>0.0572070649833604</v>
      </c>
      <c r="F7" s="18" t="n">
        <v>0.2326621229769502</v>
      </c>
      <c r="G7" s="18" t="n">
        <v>0.2752473054776318</v>
      </c>
      <c r="H7" s="18" t="n">
        <v>0.1959504804635307</v>
      </c>
      <c r="I7" s="18" t="n">
        <v>0.3530558073446463</v>
      </c>
    </row>
    <row r="8" ht="15" customHeight="1" s="11">
      <c r="A8" s="16" t="inlineStr">
        <is>
          <t>Patrimônio negativo, dois anos</t>
        </is>
      </c>
      <c r="B8" s="20" t="n">
        <v>46</v>
      </c>
      <c r="C8" s="17" t="n">
        <v>0.7955906283902194</v>
      </c>
      <c r="D8" s="18" t="n">
        <v>-0.004821935241592246</v>
      </c>
      <c r="E8" s="18" t="n">
        <v>-0.06892852625382186</v>
      </c>
      <c r="F8" s="18" t="n">
        <v>0.06318414073021726</v>
      </c>
      <c r="G8" s="18" t="n">
        <v>-0.08249186347325377</v>
      </c>
      <c r="H8" s="18" t="n">
        <v>-0.1392930511812144</v>
      </c>
      <c r="I8" s="18" t="n">
        <v>-0.0231236879844152</v>
      </c>
    </row>
    <row r="9" ht="15" customHeight="1" s="11">
      <c r="A9" s="16" t="inlineStr">
        <is>
          <t>Recuperação judicial, dois anos</t>
        </is>
      </c>
      <c r="B9" s="20" t="n">
        <v>9</v>
      </c>
      <c r="C9" s="17" t="n">
        <v>0.8008903817445084</v>
      </c>
      <c r="D9" s="18" t="n">
        <v>-0.08759863510343358</v>
      </c>
      <c r="E9" s="18" t="n">
        <v>-0.2404160277235961</v>
      </c>
      <c r="F9" s="18" t="n">
        <v>0.06901473373991801</v>
      </c>
      <c r="G9" s="18" t="n">
        <v>0.05331627212625289</v>
      </c>
      <c r="H9" s="18" t="n">
        <v>-0.02610726019816766</v>
      </c>
      <c r="I9" s="18" t="n">
        <v>0.1478807596901882</v>
      </c>
    </row>
    <row r="11" ht="15" customHeight="1" s="11">
      <c r="A11" s="19" t="inlineStr">
        <is>
          <t>Fonte: 13. Cada entrada satisfaz um único critério. Bootstrap agrupado por firma, sem correção por multiplicidade.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3" min="1" max="1"/>
    <col width="15" customWidth="1" style="13" min="2" max="4"/>
  </cols>
  <sheetData>
    <row r="1" ht="15" customHeight="1" s="11">
      <c r="A1" s="14" t="inlineStr">
        <is>
          <t>Tabela 15 – Perfil das firmas no momento da previsão, por rota de deterioração</t>
        </is>
      </c>
    </row>
    <row r="3" ht="30" customHeight="1" s="11">
      <c r="A3" s="15" t="inlineStr">
        <is>
          <t>Mediana no exercício t</t>
        </is>
      </c>
      <c r="B3" s="15" t="inlineStr">
        <is>
          <t>Entram por prejuízo operacional</t>
        </is>
      </c>
      <c r="C3" s="15" t="inlineStr">
        <is>
          <t>Entram por patrimônio negativo</t>
        </is>
      </c>
      <c r="D3" s="15" t="inlineStr">
        <is>
          <t>Não entram</t>
        </is>
      </c>
    </row>
    <row r="4" ht="15" customHeight="1" s="11">
      <c r="A4" s="16" t="inlineStr">
        <is>
          <t>Alavancagem</t>
        </is>
      </c>
      <c r="B4" s="21" t="n">
        <v>0.213065036228923</v>
      </c>
      <c r="C4" s="21" t="n">
        <v>0.425126544113893</v>
      </c>
      <c r="D4" s="21" t="n">
        <v>0.326386397196832</v>
      </c>
    </row>
    <row r="5" ht="15" customHeight="1" s="11">
      <c r="A5" s="16" t="inlineStr">
        <is>
          <t>Liquidez corrente</t>
        </is>
      </c>
      <c r="B5" s="21" t="n">
        <v>1.998049410158685</v>
      </c>
      <c r="C5" s="21" t="n">
        <v>0.943732022580715</v>
      </c>
      <c r="D5" s="21" t="n">
        <v>1.43043910867033</v>
      </c>
    </row>
    <row r="6" ht="15" customHeight="1" s="11">
      <c r="A6" s="16" t="inlineStr">
        <is>
          <t>Capital de giro sobre ativo</t>
        </is>
      </c>
      <c r="B6" s="21" t="n">
        <v>0.1763647592953315</v>
      </c>
      <c r="C6" s="21" t="n">
        <v>-0.024871125548301</v>
      </c>
      <c r="D6" s="21" t="n">
        <v>0.084351266928543</v>
      </c>
    </row>
    <row r="7" ht="15" customHeight="1" s="11">
      <c r="A7" s="16" t="inlineStr">
        <is>
          <t>Cobertura de juros</t>
        </is>
      </c>
      <c r="B7" s="21" t="n">
        <v>1.411095892305215</v>
      </c>
      <c r="C7" s="21" t="n">
        <v>0.37655960009212</v>
      </c>
      <c r="D7" s="21" t="n">
        <v>1.50992137747865</v>
      </c>
    </row>
    <row r="8" ht="15" customHeight="1" s="11">
      <c r="A8" s="16" t="inlineStr">
        <is>
          <t>Retorno sobre ativos</t>
        </is>
      </c>
      <c r="B8" s="21" t="n">
        <v>0.0163713580410209</v>
      </c>
      <c r="C8" s="21" t="n">
        <v>-0.0336808481906868</v>
      </c>
      <c r="D8" s="21" t="n">
        <v>0.0396492206621962</v>
      </c>
    </row>
    <row r="9" ht="15" customHeight="1" s="11">
      <c r="A9" s="16" t="inlineStr">
        <is>
          <t>Margem EBITDA</t>
        </is>
      </c>
      <c r="B9" s="21" t="n">
        <v>0.1320447505057315</v>
      </c>
      <c r="C9" s="21" t="n">
        <v>0.117722059244612</v>
      </c>
      <c r="D9" s="21" t="n">
        <v>0.211605259184521</v>
      </c>
    </row>
    <row r="10" ht="15" customHeight="1" s="11">
      <c r="A10" s="16" t="inlineStr">
        <is>
          <t>Logaritmo do ativo real</t>
        </is>
      </c>
      <c r="B10" s="21" t="n">
        <v>21.5013478037086</v>
      </c>
      <c r="C10" s="21" t="n">
        <v>21.4529774714187</v>
      </c>
      <c r="D10" s="21" t="n">
        <v>22.1714420501993</v>
      </c>
    </row>
    <row r="11" ht="15" customHeight="1" s="11">
      <c r="A11" s="16" t="inlineStr">
        <is>
          <t>Observações</t>
        </is>
      </c>
      <c r="B11" s="21" t="n">
        <v>52</v>
      </c>
      <c r="C11" s="21" t="n">
        <v>65</v>
      </c>
      <c r="D11" s="21" t="n">
        <v>4193</v>
      </c>
    </row>
    <row r="13" ht="15" customHeight="1" s="11">
      <c r="A13" s="19" t="inlineStr">
        <is>
          <t>Fonte: 13. Horizonte de dois anos, sobre a amostra de risco. A primeira coluna reúne as entradas apenas pelo critério de EBITDA; a segunda, todas as entradas por patrimônio líquido negativo, inclusive as que satisfazem outro critério.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Thomas G. M. Lopes</dc:creator>
  <dc:language xmlns:dc="http://purl.org/dc/elements/1.1/">en-US</dc:language>
  <dcterms:created xmlns:dcterms="http://purl.org/dc/terms/" xmlns:xsi="http://www.w3.org/2001/XMLSchema-instance" xsi:type="dcterms:W3CDTF">2026-09-23T18:44:50Z</dcterms:created>
  <dcterms:modified xmlns:dcterms="http://purl.org/dc/terms/" xmlns:xsi="http://www.w3.org/2001/XMLSchema-instance" xsi:type="dcterms:W3CDTF">2026-09-29T15:37:08Z</dcterms:modified>
  <cp:lastModifiedBy>Thomas G. M. Lopes</cp:lastModifiedBy>
  <cp:revision>0</cp:revision>
</cp:coreProperties>
</file>