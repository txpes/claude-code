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T10_um_ano" sheetId="1" state="visible" r:id="rId1"/>
    <sheet xmlns:r="http://schemas.openxmlformats.org/officeDocument/2006/relationships" name="T10_dois_anos" sheetId="2" state="visible" r:id="rId2"/>
    <sheet xmlns:r="http://schemas.openxmlformats.org/officeDocument/2006/relationships" name="T11_temporal" sheetId="3" state="visible" r:id="rId3"/>
    <sheet xmlns:r="http://schemas.openxmlformats.org/officeDocument/2006/relationships" name="T13_decomposicao" sheetId="4" state="visible" r:id="rId4"/>
    <sheet xmlns:r="http://schemas.openxmlformats.org/officeDocument/2006/relationships" name="T16_diagnostico" sheetId="5" state="visible" r:id="rId5"/>
    <sheet xmlns:r="http://schemas.openxmlformats.org/officeDocument/2006/relationships" name="T17_metricas" sheetId="6" state="visible" r:id="rId6"/>
    <sheet xmlns:r="http://schemas.openxmlformats.org/officeDocument/2006/relationships" name="T18_definicoes" sheetId="7" state="visible" r:id="rId7"/>
    <sheet xmlns:r="http://schemas.openxmlformats.org/officeDocument/2006/relationships" name="T19_sensibilidade" sheetId="8" state="visible" r:id="rId8"/>
    <sheet xmlns:r="http://schemas.openxmlformats.org/officeDocument/2006/relationships" name="T20_defasagens" sheetId="9" state="visible" r:id="rId9"/>
    <sheet xmlns:r="http://schemas.openxmlformats.org/officeDocument/2006/relationships" name="Estabilidade_h1" sheetId="10" state="visible" r:id="rId10"/>
    <sheet xmlns:r="http://schemas.openxmlformats.org/officeDocument/2006/relationships" name="Estabilidade_h2" sheetId="11" state="visible" r:id="rId11"/>
    <sheet xmlns:r="http://schemas.openxmlformats.org/officeDocument/2006/relationships" name="T14_puros" sheetId="12" state="visible" r:id="rId12"/>
    <sheet xmlns:r="http://schemas.openxmlformats.org/officeDocument/2006/relationships" name="T15_perfil" sheetId="13" state="visible" r:id="rId1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0.0000"/>
    <numFmt numFmtId="165" formatCode="\+0.0000;\-0.0000"/>
    <numFmt numFmtId="166" formatCode="0.000"/>
    <numFmt numFmtId="167" formatCode="0.0%"/>
  </numFmts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charset val="1"/>
      <family val="0"/>
      <b val="1"/>
      <sz val="11"/>
    </font>
    <font>
      <name val="Times New Roman"/>
      <charset val="1"/>
      <family val="0"/>
      <b val="1"/>
      <sz val="10"/>
    </font>
    <font>
      <name val="Times New Roman"/>
      <charset val="1"/>
      <family val="0"/>
      <sz val="10"/>
    </font>
    <font>
      <name val="Times New Roman"/>
      <charset val="1"/>
      <family val="0"/>
      <i val="1"/>
      <sz val="9"/>
    </font>
  </fonts>
  <fills count="3">
    <fill>
      <patternFill/>
    </fill>
    <fill>
      <patternFill patternType="gray125"/>
    </fill>
    <fill>
      <patternFill patternType="solid">
        <fgColor rgb="FFF2F2F2"/>
        <bgColor rgb="FFFFFF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bottom"/>
    </xf>
    <xf numFmtId="164" fontId="6" fillId="0" borderId="0" applyAlignment="1" pivotButton="0" quotePrefix="0" xfId="0">
      <alignment horizontal="center" vertical="bottom"/>
    </xf>
    <xf numFmtId="165" fontId="6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center" vertical="bottom"/>
    </xf>
    <xf numFmtId="166" fontId="6" fillId="0" borderId="0" applyAlignment="1" pivotButton="0" quotePrefix="0" xfId="0">
      <alignment horizontal="center" vertical="bottom"/>
    </xf>
    <xf numFmtId="167" fontId="6" fillId="0" borderId="0" applyAlignment="1" pivotButton="0" quotePrefix="0" xfId="0">
      <alignment horizontal="center" vertical="bottom"/>
    </xf>
    <xf numFmtId="3" fontId="6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bottom"/>
    </xf>
    <xf numFmtId="164" fontId="6" fillId="0" borderId="0" applyAlignment="1" pivotButton="0" quotePrefix="0" xfId="0">
      <alignment horizontal="center" vertical="bottom"/>
    </xf>
    <xf numFmtId="165" fontId="6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center" vertical="bottom"/>
    </xf>
    <xf numFmtId="166" fontId="6" fillId="0" borderId="0" applyAlignment="1" pivotButton="0" quotePrefix="0" xfId="0">
      <alignment horizontal="center" vertical="bottom"/>
    </xf>
    <xf numFmtId="167" fontId="6" fillId="0" borderId="0" applyAlignment="1" pivotButton="0" quotePrefix="0" xfId="0">
      <alignment horizontal="center" vertical="bottom"/>
    </xf>
    <xf numFmtId="3" fontId="6" fillId="0" borderId="0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11" min="1" max="1"/>
    <col width="15" customWidth="1" style="11" min="2" max="7"/>
  </cols>
  <sheetData>
    <row r="1" ht="15" customHeight="1" s="12">
      <c r="A1" s="13" t="inlineStr">
        <is>
          <t>Tabela 10 – Desempenho fora da amostra, horizonte de um ano</t>
        </is>
      </c>
    </row>
    <row r="3" ht="30" customHeight="1" s="12">
      <c r="A3" s="14" t="inlineStr">
        <is>
          <t>Modelo</t>
        </is>
      </c>
      <c r="B3" s="14" t="inlineStr">
        <is>
          <t>AUC</t>
        </is>
      </c>
      <c r="C3" s="14" t="inlineStr">
        <is>
          <t>Diferença contra F</t>
        </is>
      </c>
      <c r="D3" s="14" t="inlineStr">
        <is>
          <t>IC 95% inferior</t>
        </is>
      </c>
      <c r="E3" s="14" t="inlineStr">
        <is>
          <t>IC 95% superior</t>
        </is>
      </c>
      <c r="F3" s="14" t="inlineStr">
        <is>
          <t>p bootstrap</t>
        </is>
      </c>
      <c r="G3" s="14" t="inlineStr">
        <is>
          <t>p ajustado</t>
        </is>
      </c>
    </row>
    <row r="4" ht="15" customHeight="1" s="12">
      <c r="A4" s="15" t="inlineStr">
        <is>
          <t>Componentes principais (F)</t>
        </is>
      </c>
      <c r="B4" s="16" t="n">
        <v>0.764267398338662</v>
      </c>
      <c r="C4" s="17" t="n"/>
      <c r="D4" s="17" t="n"/>
      <c r="E4" s="17" t="n"/>
      <c r="F4" s="16" t="n"/>
      <c r="G4" s="16" t="n"/>
    </row>
    <row r="5" ht="15" customHeight="1" s="12">
      <c r="A5" s="15" t="inlineStr">
        <is>
          <t>Árvores impulsionadas</t>
        </is>
      </c>
      <c r="B5" s="16" t="n">
        <v>0.900185430608796</v>
      </c>
      <c r="C5" s="17">
        <f>B5-$B$4</f>
        <v/>
      </c>
      <c r="D5" s="17" t="n">
        <v>0.09024207789425299</v>
      </c>
      <c r="E5" s="17" t="n">
        <v>0.183902588858983</v>
      </c>
      <c r="F5" s="16" t="n">
        <v>0.0005</v>
      </c>
      <c r="G5" s="16">
        <f>MIN(1,F5*6)</f>
        <v/>
      </c>
    </row>
    <row r="6" ht="15" customHeight="1" s="12">
      <c r="A6" s="15" t="inlineStr">
        <is>
          <t>Cobertura de juros</t>
        </is>
      </c>
      <c r="B6" s="16" t="n">
        <v>0.893687136214063</v>
      </c>
      <c r="C6" s="17">
        <f>B6-$B$4</f>
        <v/>
      </c>
      <c r="D6" s="17" t="n">
        <v>0.0800957193667922</v>
      </c>
      <c r="E6" s="17" t="n">
        <v>0.181328875610143</v>
      </c>
      <c r="F6" s="16" t="n">
        <v>0.0005</v>
      </c>
      <c r="G6" s="16">
        <f>MIN(1,F6*6)</f>
        <v/>
      </c>
    </row>
    <row r="7" ht="15" customHeight="1" s="12">
      <c r="A7" s="15" t="inlineStr">
        <is>
          <t>Mínimos quadrados parciais</t>
        </is>
      </c>
      <c r="B7" s="16" t="n">
        <v>0.875253031235395</v>
      </c>
      <c r="C7" s="17">
        <f>B7-$B$4</f>
        <v/>
      </c>
      <c r="D7" s="17" t="n">
        <v>0.0644198867522225</v>
      </c>
      <c r="E7" s="17" t="n">
        <v>0.160335239951334</v>
      </c>
      <c r="F7" s="16" t="n">
        <v>0.0005</v>
      </c>
      <c r="G7" s="16">
        <f>F7</f>
        <v/>
      </c>
    </row>
    <row r="8" ht="15" customHeight="1" s="12">
      <c r="A8" s="15" t="inlineStr">
        <is>
          <t>Retorno sobre ativos</t>
        </is>
      </c>
      <c r="B8" s="16" t="n">
        <v>0.873875664185579</v>
      </c>
      <c r="C8" s="17">
        <f>B8-$B$4</f>
        <v/>
      </c>
      <c r="D8" s="17" t="n">
        <v>0.0607085903949829</v>
      </c>
      <c r="E8" s="17" t="n">
        <v>0.157800455395518</v>
      </c>
      <c r="F8" s="16" t="n">
        <v>0.0005</v>
      </c>
      <c r="G8" s="16">
        <f>MIN(1,F8*6)</f>
        <v/>
      </c>
    </row>
    <row r="9" ht="15" customHeight="1" s="12">
      <c r="A9" s="15" t="inlineStr">
        <is>
          <t>Brito e Assaf Neto</t>
        </is>
      </c>
      <c r="B9" s="16" t="n">
        <v>0.734498453374412</v>
      </c>
      <c r="C9" s="17">
        <f>B9-$B$4</f>
        <v/>
      </c>
      <c r="D9" s="17" t="n">
        <v>-0.0751501393568418</v>
      </c>
      <c r="E9" s="17" t="n">
        <v>0.0162514157036613</v>
      </c>
      <c r="F9" s="16" t="n">
        <v>0.199</v>
      </c>
      <c r="G9" s="16">
        <f>MIN(1,F9*6)</f>
        <v/>
      </c>
    </row>
    <row r="10" ht="15" customHeight="1" s="12">
      <c r="A10" s="15" t="inlineStr">
        <is>
          <t>Liquidez corrente</t>
        </is>
      </c>
      <c r="B10" s="16" t="n">
        <v>0.603972025058487</v>
      </c>
      <c r="C10" s="17">
        <f>B10-$B$4</f>
        <v/>
      </c>
      <c r="D10" s="17" t="n">
        <v>-0.193073361694687</v>
      </c>
      <c r="E10" s="17" t="n">
        <v>-0.125432678801339</v>
      </c>
      <c r="F10" s="16" t="n">
        <v>0.0005</v>
      </c>
      <c r="G10" s="16">
        <f>MIN(1,F10*6)</f>
        <v/>
      </c>
    </row>
    <row r="11" ht="15" customHeight="1" s="12">
      <c r="A11" s="15" t="inlineStr">
        <is>
          <t>Alavancagem</t>
        </is>
      </c>
      <c r="B11" s="16" t="n">
        <v>0.531137403669964</v>
      </c>
      <c r="C11" s="17">
        <f>B11-$B$4</f>
        <v/>
      </c>
      <c r="D11" s="17" t="n">
        <v>-0.281592099154262</v>
      </c>
      <c r="E11" s="17" t="n">
        <v>-0.181285615837411</v>
      </c>
      <c r="F11" s="16" t="n">
        <v>0.0005</v>
      </c>
      <c r="G11" s="16">
        <f>MIN(1,F11*6)</f>
        <v/>
      </c>
    </row>
    <row r="12">
      <c r="A12" t="inlineStr">
        <is>
          <t>Fonte: 01 e 02. Validação cruzada agrupada por firma, atribuição de referência. Diferença por fórmula. p ajustado por Bonferroni para as seis comparações contra benchmarks e referência não linear; a comparação com mínimos quadrados parciais responde a H4 e não é ajustada.</t>
        </is>
      </c>
    </row>
    <row r="13" ht="15" customHeight="1" s="12">
      <c r="A13" s="18" t="inlineStr">
        <is>
          <t>Fonte: 01 e 02. Validação cruzada agrupada por firma, atribuição de referência. Diferença e p ajustado por fórmula.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11" min="1" max="1"/>
    <col width="15" customWidth="1" style="11" min="2" max="7"/>
  </cols>
  <sheetData>
    <row r="1" ht="15" customHeight="1" s="12">
      <c r="A1" s="13" t="inlineStr">
        <is>
          <t>Tabela 10 – Desempenho fora da amostra, horizonte de dois anos</t>
        </is>
      </c>
    </row>
    <row r="3" ht="30" customHeight="1" s="12">
      <c r="A3" s="14" t="inlineStr">
        <is>
          <t>Modelo</t>
        </is>
      </c>
      <c r="B3" s="14" t="inlineStr">
        <is>
          <t>AUC</t>
        </is>
      </c>
      <c r="C3" s="14" t="inlineStr">
        <is>
          <t>Diferença contra F</t>
        </is>
      </c>
      <c r="D3" s="14" t="inlineStr">
        <is>
          <t>IC 95% inferior</t>
        </is>
      </c>
      <c r="E3" s="14" t="inlineStr">
        <is>
          <t>IC 95% superior</t>
        </is>
      </c>
      <c r="F3" s="14" t="inlineStr">
        <is>
          <t>p bootstrap</t>
        </is>
      </c>
      <c r="G3" s="14" t="inlineStr">
        <is>
          <t>p ajustado</t>
        </is>
      </c>
    </row>
    <row r="4" ht="15" customHeight="1" s="12">
      <c r="A4" s="15" t="inlineStr">
        <is>
          <t>Componentes principais (F)</t>
        </is>
      </c>
      <c r="B4" s="16" t="n">
        <v>0.6266128172318191</v>
      </c>
      <c r="C4" s="17" t="n"/>
      <c r="D4" s="17" t="n"/>
      <c r="E4" s="17" t="n"/>
      <c r="F4" s="16" t="n"/>
      <c r="G4" s="16" t="n"/>
    </row>
    <row r="5" ht="15" customHeight="1" s="12">
      <c r="A5" s="15" t="inlineStr">
        <is>
          <t>Árvores impulsionadas</t>
        </is>
      </c>
      <c r="B5" s="16" t="n">
        <v>0.751919385796545</v>
      </c>
      <c r="C5" s="17">
        <f>B5-$B$4</f>
        <v/>
      </c>
      <c r="D5" s="17" t="n">
        <v>0.0597613988902714</v>
      </c>
      <c r="E5" s="17" t="n">
        <v>0.191405616559016</v>
      </c>
      <c r="F5" s="16" t="n">
        <v>0.0005</v>
      </c>
      <c r="G5" s="16">
        <f>MIN(1,F5*6)</f>
        <v/>
      </c>
    </row>
    <row r="6" ht="15" customHeight="1" s="12">
      <c r="A6" s="15" t="inlineStr">
        <is>
          <t>Cobertura de juros</t>
        </is>
      </c>
      <c r="B6" s="16" t="n">
        <v>0.681287702221004</v>
      </c>
      <c r="C6" s="17">
        <f>B6-$B$4</f>
        <v/>
      </c>
      <c r="D6" s="17" t="n">
        <v>0.008098410066950199</v>
      </c>
      <c r="E6" s="17" t="n">
        <v>0.105182287672428</v>
      </c>
      <c r="F6" s="16" t="n">
        <v>0.02</v>
      </c>
      <c r="G6" s="16">
        <f>MIN(1,F6*6)</f>
        <v/>
      </c>
    </row>
    <row r="7" ht="15" customHeight="1" s="12">
      <c r="A7" s="15" t="inlineStr">
        <is>
          <t>Mínimos quadrados parciais</t>
        </is>
      </c>
      <c r="B7" s="16" t="n">
        <v>0.724754745148219</v>
      </c>
      <c r="C7" s="17">
        <f>B7-$B$4</f>
        <v/>
      </c>
      <c r="D7" s="17" t="n">
        <v>0.0493803501518459</v>
      </c>
      <c r="E7" s="17" t="n">
        <v>0.147854404332523</v>
      </c>
      <c r="F7" s="16" t="n">
        <v>0.0005</v>
      </c>
      <c r="G7" s="16">
        <f>F7</f>
        <v/>
      </c>
    </row>
    <row r="8" ht="15" customHeight="1" s="12">
      <c r="A8" s="15" t="inlineStr">
        <is>
          <t>Retorno sobre ativos</t>
        </is>
      </c>
      <c r="B8" s="16" t="n">
        <v>0.73071664686348</v>
      </c>
      <c r="C8" s="17">
        <f>B8-$B$4</f>
        <v/>
      </c>
      <c r="D8" s="17" t="n">
        <v>0.0596128290521198</v>
      </c>
      <c r="E8" s="17" t="n">
        <v>0.147957724829731</v>
      </c>
      <c r="F8" s="16" t="n">
        <v>0.0005</v>
      </c>
      <c r="G8" s="16">
        <f>MIN(1,F8*6)</f>
        <v/>
      </c>
    </row>
    <row r="9" ht="15" customHeight="1" s="12">
      <c r="A9" s="15" t="inlineStr">
        <is>
          <t>Brito e Assaf Neto</t>
        </is>
      </c>
      <c r="B9" s="16" t="n">
        <v>0.667237912439448</v>
      </c>
      <c r="C9" s="17">
        <f>B9-$B$4</f>
        <v/>
      </c>
      <c r="D9" s="17" t="n">
        <v>-0.0119712517042226</v>
      </c>
      <c r="E9" s="17" t="n">
        <v>0.09120181363480689</v>
      </c>
      <c r="F9" s="16" t="n">
        <v>0.115</v>
      </c>
      <c r="G9" s="16">
        <f>MIN(1,F9*6)</f>
        <v/>
      </c>
    </row>
    <row r="10" ht="15" customHeight="1" s="12">
      <c r="A10" s="15" t="inlineStr">
        <is>
          <t>Liquidez corrente</t>
        </is>
      </c>
      <c r="B10" s="16" t="n">
        <v>0.5680791670474969</v>
      </c>
      <c r="C10" s="17">
        <f>B10-$B$4</f>
        <v/>
      </c>
      <c r="D10" s="17" t="n">
        <v>-0.0905528171102274</v>
      </c>
      <c r="E10" s="17" t="n">
        <v>-0.0278237792693648</v>
      </c>
      <c r="F10" s="16" t="n">
        <v>0.0005</v>
      </c>
      <c r="G10" s="16">
        <f>MIN(1,F10*6)</f>
        <v/>
      </c>
    </row>
    <row r="11" ht="15" customHeight="1" s="12">
      <c r="A11" s="15" t="inlineStr">
        <is>
          <t>Alavancagem</t>
        </is>
      </c>
      <c r="B11" s="16" t="n">
        <v>0.505255461109588</v>
      </c>
      <c r="C11" s="17">
        <f>B11-$B$4</f>
        <v/>
      </c>
      <c r="D11" s="17" t="n">
        <v>-0.171218726408485</v>
      </c>
      <c r="E11" s="17" t="n">
        <v>-0.0753579660663876</v>
      </c>
      <c r="F11" s="16" t="n">
        <v>0.0005</v>
      </c>
      <c r="G11" s="16">
        <f>MIN(1,F11*6)</f>
        <v/>
      </c>
    </row>
    <row r="12">
      <c r="A12" t="inlineStr">
        <is>
          <t>Fonte: 01 e 02. Validação cruzada agrupada por firma, atribuição de referência. Diferença por fórmula. p ajustado por Bonferroni para as seis comparações contra benchmarks e referência não linear; a comparação com mínimos quadrados parciais responde a H4 e não é ajustada.</t>
        </is>
      </c>
    </row>
    <row r="13" ht="15" customHeight="1" s="12">
      <c r="A13" s="18" t="inlineStr">
        <is>
          <t>Fonte: 01 e 02. Validação cruzada agrupada por firma, atribuição de referência. Diferença e p ajustado por fórmula.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11" min="1" max="1"/>
    <col width="15" customWidth="1" style="11" min="2" max="6"/>
  </cols>
  <sheetData>
    <row r="1" ht="15" customHeight="1" s="12">
      <c r="A1" s="13" t="inlineStr">
        <is>
          <t>Tabela 11 – Desempenho sob o esquema temporal</t>
        </is>
      </c>
    </row>
    <row r="3" ht="30" customHeight="1" s="12">
      <c r="A3" s="14" t="inlineStr">
        <is>
          <t>Modelo</t>
        </is>
      </c>
      <c r="B3" s="14" t="inlineStr">
        <is>
          <t>AUC um ano</t>
        </is>
      </c>
      <c r="C3" s="14" t="inlineStr">
        <is>
          <t>Diferença</t>
        </is>
      </c>
      <c r="D3" s="14" t="inlineStr">
        <is>
          <t>IC 95% inferior</t>
        </is>
      </c>
      <c r="E3" s="14" t="inlineStr">
        <is>
          <t>IC 95% superior</t>
        </is>
      </c>
      <c r="F3" s="14" t="inlineStr">
        <is>
          <t>AUC dois anos</t>
        </is>
      </c>
    </row>
    <row r="4" ht="15" customHeight="1" s="12">
      <c r="A4" s="15" t="inlineStr">
        <is>
          <t>Componentes principais (F)</t>
        </is>
      </c>
      <c r="B4" s="16" t="n">
        <v>0.743835421412301</v>
      </c>
      <c r="C4" s="17" t="n"/>
      <c r="D4" s="17" t="n"/>
      <c r="E4" s="17" t="n"/>
      <c r="F4" s="16" t="n">
        <v>0.680818252759095</v>
      </c>
    </row>
    <row r="5" ht="15" customHeight="1" s="12">
      <c r="A5" s="15" t="inlineStr">
        <is>
          <t>Árvores impulsionadas</t>
        </is>
      </c>
      <c r="B5" s="16" t="n">
        <v>0.910136674259681</v>
      </c>
      <c r="C5" s="17">
        <f>B5-$B$4</f>
        <v/>
      </c>
      <c r="D5" s="17" t="n">
        <v>0.0767620987579285</v>
      </c>
      <c r="E5" s="17" t="n">
        <v>0.265051116539149</v>
      </c>
      <c r="F5" s="16" t="n">
        <v>0.712682546170711</v>
      </c>
    </row>
    <row r="6" ht="15" customHeight="1" s="12">
      <c r="A6" s="15" t="inlineStr">
        <is>
          <t>Retorno sobre ativos</t>
        </is>
      </c>
      <c r="B6" s="16" t="n">
        <v>0.9035449886104781</v>
      </c>
      <c r="C6" s="17">
        <f>B6-$B$4</f>
        <v/>
      </c>
      <c r="D6" s="17" t="n">
        <v>0.06683609790819089</v>
      </c>
      <c r="E6" s="17" t="n">
        <v>0.25787137641433</v>
      </c>
      <c r="F6" s="16" t="n">
        <v>0.727249080301735</v>
      </c>
    </row>
    <row r="7" ht="15" customHeight="1" s="12">
      <c r="A7" s="15" t="inlineStr">
        <is>
          <t>Mínimos quadrados parciais</t>
        </is>
      </c>
      <c r="B7" s="16" t="n">
        <v>0.8995017084282459</v>
      </c>
      <c r="C7" s="17">
        <f>B7-$B$4</f>
        <v/>
      </c>
      <c r="D7" s="17" t="n">
        <v>0.063143941202702</v>
      </c>
      <c r="E7" s="17" t="n">
        <v>0.258642713944733</v>
      </c>
      <c r="F7" s="16" t="n">
        <v>0.6897736984876069</v>
      </c>
    </row>
    <row r="8" ht="15" customHeight="1" s="12">
      <c r="A8" s="15" t="inlineStr">
        <is>
          <t>Cobertura de juros</t>
        </is>
      </c>
      <c r="B8" s="16" t="n">
        <v>0.890546697038724</v>
      </c>
      <c r="C8" s="17">
        <f>B8-$B$4</f>
        <v/>
      </c>
      <c r="D8" s="17" t="n">
        <v>0.0446372700183863</v>
      </c>
      <c r="E8" s="17" t="n">
        <v>0.252442977628922</v>
      </c>
      <c r="F8" s="16" t="n">
        <v>0.722093196090818</v>
      </c>
    </row>
    <row r="9" ht="15" customHeight="1" s="12">
      <c r="A9" s="15" t="inlineStr">
        <is>
          <t>Brito e Assaf Neto</t>
        </is>
      </c>
      <c r="B9" s="16" t="n">
        <v>0.787015945330296</v>
      </c>
      <c r="C9" s="17">
        <f>B9-$B$4</f>
        <v/>
      </c>
      <c r="D9" s="17" t="n"/>
      <c r="E9" s="17" t="n"/>
      <c r="F9" s="16" t="n">
        <v>0.686262123295307</v>
      </c>
    </row>
    <row r="11" ht="15" customHeight="1" s="12">
      <c r="A11" s="18" t="inlineStr">
        <is>
          <t>Fonte: 10. Treino com desfechos até 2021 (109 entradas); teste de 2022 a 2025 (40 entradas em um ano, 34 em dois).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11" min="1" max="1"/>
    <col width="15" customWidth="1" style="11" min="2" max="7"/>
  </cols>
  <sheetData>
    <row r="1" ht="15" customHeight="1" s="12">
      <c r="A1" s="13" t="inlineStr">
        <is>
          <t>Tabela 13 – Desempenho fora da amostra por tipo de entrada</t>
        </is>
      </c>
    </row>
    <row r="3" ht="30" customHeight="1" s="12">
      <c r="A3" s="14" t="inlineStr">
        <is>
          <t>Tipo de entrada</t>
        </is>
      </c>
      <c r="B3" s="14" t="inlineStr">
        <is>
          <t>Entradas</t>
        </is>
      </c>
      <c r="C3" s="14" t="inlineStr">
        <is>
          <t>Escore F</t>
        </is>
      </c>
      <c r="D3" s="14" t="inlineStr">
        <is>
          <t>Árvores</t>
        </is>
      </c>
      <c r="E3" s="14" t="inlineStr">
        <is>
          <t>Cobertura</t>
        </is>
      </c>
      <c r="F3" s="14" t="inlineStr">
        <is>
          <t>PLS</t>
        </is>
      </c>
      <c r="G3" s="14" t="inlineStr">
        <is>
          <t>ROA</t>
        </is>
      </c>
    </row>
    <row r="4" ht="15" customHeight="1" s="12">
      <c r="A4" s="15" t="inlineStr">
        <is>
          <t>Um ano</t>
        </is>
      </c>
      <c r="B4" s="19" t="n"/>
      <c r="C4" s="16" t="n"/>
      <c r="D4" s="16" t="n"/>
      <c r="E4" s="16" t="n"/>
      <c r="F4" s="16" t="n"/>
      <c r="G4" s="16" t="n"/>
    </row>
    <row r="5" ht="15" customHeight="1" s="12">
      <c r="A5" s="15" t="inlineStr">
        <is>
          <t>Somente por EBITDA negativo</t>
        </is>
      </c>
      <c r="B5" s="19" t="n">
        <v>66</v>
      </c>
      <c r="C5" s="16" t="n">
        <v>0.645674841121033</v>
      </c>
      <c r="D5" s="16" t="n">
        <v>0.969020303092184</v>
      </c>
      <c r="E5" s="16" t="n">
        <v>0.97298748151311</v>
      </c>
      <c r="F5" s="16" t="n">
        <v>0.938500999375004</v>
      </c>
      <c r="G5" s="16" t="n">
        <v>0.911730125432392</v>
      </c>
    </row>
    <row r="6" ht="15" customHeight="1" s="12">
      <c r="A6" s="15" t="inlineStr">
        <is>
          <t>Patrimônio líquido negativo</t>
        </is>
      </c>
      <c r="B6" s="19" t="n">
        <v>70</v>
      </c>
      <c r="C6" s="16" t="n">
        <v>0.858013360949853</v>
      </c>
      <c r="D6" s="16" t="n">
        <v>0.836109571457744</v>
      </c>
      <c r="E6" s="16" t="n">
        <v>0.8251101257329559</v>
      </c>
      <c r="F6" s="16" t="n">
        <v>0.806182502406721</v>
      </c>
      <c r="G6" s="16" t="n">
        <v>0.833224423116194</v>
      </c>
    </row>
    <row r="7" ht="15" customHeight="1" s="12">
      <c r="A7" s="15" t="inlineStr">
        <is>
          <t>Recuperação judicial</t>
        </is>
      </c>
      <c r="B7" s="19" t="n">
        <v>20</v>
      </c>
      <c r="C7" s="16" t="n">
        <v>0.887505615683071</v>
      </c>
      <c r="D7" s="16" t="n">
        <v>0.887425975086788</v>
      </c>
      <c r="E7" s="16" t="n">
        <v>0.869802940575863</v>
      </c>
      <c r="F7" s="16" t="n">
        <v>0.922327955891362</v>
      </c>
      <c r="G7" s="16" t="n">
        <v>0.917623034510925</v>
      </c>
    </row>
    <row r="8" ht="15" customHeight="1" s="12">
      <c r="A8" s="15" t="inlineStr">
        <is>
          <t>Todas as entradas</t>
        </is>
      </c>
      <c r="B8" s="19" t="n">
        <v>149</v>
      </c>
      <c r="C8" s="16" t="n">
        <v>0.763207716544714</v>
      </c>
      <c r="D8" s="16" t="n">
        <v>0.897094783410745</v>
      </c>
      <c r="E8" s="16" t="n">
        <v>0.893687136214063</v>
      </c>
      <c r="F8" s="16" t="n">
        <v>0.873822625275302</v>
      </c>
      <c r="G8" s="16" t="n">
        <v>0.873875664185579</v>
      </c>
    </row>
    <row r="9" ht="15" customHeight="1" s="12">
      <c r="A9" s="15" t="inlineStr">
        <is>
          <t>Dois anos</t>
        </is>
      </c>
      <c r="B9" s="19" t="n"/>
      <c r="C9" s="16" t="n"/>
      <c r="D9" s="16" t="n"/>
      <c r="E9" s="16" t="n"/>
      <c r="F9" s="16" t="n"/>
      <c r="G9" s="16" t="n"/>
    </row>
    <row r="10" ht="15" customHeight="1" s="12">
      <c r="A10" s="15" t="inlineStr">
        <is>
          <t>Somente por EBITDA negativo</t>
        </is>
      </c>
      <c r="B10" s="19" t="n">
        <v>52</v>
      </c>
      <c r="C10" s="16" t="n">
        <v>0.37722528790787</v>
      </c>
      <c r="D10" s="16" t="n">
        <v>0.7225567049313451</v>
      </c>
      <c r="E10" s="16" t="n">
        <v>0.522132917466411</v>
      </c>
      <c r="F10" s="16" t="n">
        <v>0.649544607264137</v>
      </c>
      <c r="G10" s="16" t="n">
        <v>0.595111102908608</v>
      </c>
    </row>
    <row r="11" ht="15" customHeight="1" s="12">
      <c r="A11" s="15" t="inlineStr">
        <is>
          <t>Patrimônio líquido negativo</t>
        </is>
      </c>
      <c r="B11" s="19" t="n">
        <v>63</v>
      </c>
      <c r="C11" s="16" t="n">
        <v>0.806624165981172</v>
      </c>
      <c r="D11" s="16" t="n">
        <v>0.772177855467203</v>
      </c>
      <c r="E11" s="16" t="n">
        <v>0.801733921335649</v>
      </c>
      <c r="F11" s="16" t="n">
        <v>0.764780413124943</v>
      </c>
      <c r="G11" s="16" t="n">
        <v>0.829193705633245</v>
      </c>
    </row>
    <row r="12" ht="15" customHeight="1" s="12">
      <c r="A12" s="15" t="inlineStr">
        <is>
          <t>Recuperação judicial</t>
        </is>
      </c>
      <c r="B12" s="19" t="n">
        <v>17</v>
      </c>
      <c r="C12" s="16" t="n">
        <v>0.806510387264311</v>
      </c>
      <c r="D12" s="16" t="n">
        <v>0.849143332956983</v>
      </c>
      <c r="E12" s="16" t="n">
        <v>0.766484136840917</v>
      </c>
      <c r="F12" s="16" t="n">
        <v>0.859347126566558</v>
      </c>
      <c r="G12" s="16" t="n">
        <v>0.825985096533815</v>
      </c>
    </row>
    <row r="13" ht="15" customHeight="1" s="12">
      <c r="A13" s="15" t="inlineStr">
        <is>
          <t>Todas as entradas</t>
        </is>
      </c>
      <c r="B13" s="19" t="n">
        <v>126</v>
      </c>
      <c r="C13" s="16" t="n">
        <v>0.626757151997075</v>
      </c>
      <c r="D13" s="16" t="n">
        <v>0.757206075008378</v>
      </c>
      <c r="E13" s="16" t="n">
        <v>0.681287702221004</v>
      </c>
      <c r="F13" s="16" t="n">
        <v>0.72646638789873</v>
      </c>
      <c r="G13" s="16" t="n">
        <v>0.73071664686348</v>
      </c>
    </row>
    <row r="15" ht="15" customHeight="1" s="12">
      <c r="A15" s="18" t="inlineStr">
        <is>
          <t>Fonte: 09. Médias sobre dez atribuições. Em cada linha, os não eventos são todos os da amostra e os eventos apenas os do tipo indicado.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11" min="1" max="1"/>
    <col width="15" customWidth="1" style="11" min="2" max="5"/>
  </cols>
  <sheetData>
    <row r="1" ht="15" customHeight="1" s="12">
      <c r="A1" s="13" t="inlineStr">
        <is>
          <t>Tabela 16 – Poder discriminante, peso e natureza da variação</t>
        </is>
      </c>
    </row>
    <row r="3" ht="30" customHeight="1" s="12">
      <c r="A3" s="14" t="inlineStr">
        <is>
          <t>Indicador</t>
        </is>
      </c>
      <c r="B3" s="14" t="inlineStr">
        <is>
          <t>KS</t>
        </is>
      </c>
      <c r="C3" s="14" t="inlineStr">
        <is>
          <t>Carga CP1</t>
        </is>
      </c>
      <c r="D3" s="14" t="inlineStr">
        <is>
          <t>Peso PLS</t>
        </is>
      </c>
      <c r="E3" s="14" t="inlineStr">
        <is>
          <t>Variância entre firmas</t>
        </is>
      </c>
    </row>
    <row r="4" ht="15" customHeight="1" s="12">
      <c r="A4" s="15" t="inlineStr">
        <is>
          <t>ROA</t>
        </is>
      </c>
      <c r="B4" s="20" t="n">
        <v>0.780783062873292</v>
      </c>
      <c r="C4" s="20" t="n">
        <v>0.48627472863789</v>
      </c>
      <c r="D4" s="20" t="n">
        <v>0.889077026811682</v>
      </c>
      <c r="E4" s="21" t="n">
        <v>0.452236234964863</v>
      </c>
    </row>
    <row r="5" ht="15" customHeight="1" s="12">
      <c r="A5" s="15" t="inlineStr">
        <is>
          <t>COB</t>
        </is>
      </c>
      <c r="B5" s="20" t="n">
        <v>0.774695135092589</v>
      </c>
      <c r="C5" s="20" t="n">
        <v>0.238113071125549</v>
      </c>
      <c r="D5" s="20" t="n">
        <v>0.168890555847401</v>
      </c>
      <c r="E5" s="21" t="n">
        <v>0.366110304900671</v>
      </c>
    </row>
    <row r="6" ht="15" customHeight="1" s="12">
      <c r="A6" s="15" t="inlineStr">
        <is>
          <t>EBITDA</t>
        </is>
      </c>
      <c r="B6" s="20" t="n">
        <v>0.68833033169227</v>
      </c>
      <c r="C6" s="20" t="n">
        <v>0.226029228081107</v>
      </c>
      <c r="D6" s="20" t="n">
        <v>0.301210882140014</v>
      </c>
      <c r="E6" s="21" t="n">
        <v>0.44151965006269</v>
      </c>
    </row>
    <row r="7" ht="15" customHeight="1" s="12">
      <c r="A7" s="15" t="inlineStr">
        <is>
          <t>CG</t>
        </is>
      </c>
      <c r="B7" s="20" t="n">
        <v>0.350637278695345</v>
      </c>
      <c r="C7" s="20" t="n">
        <v>0.531605179440876</v>
      </c>
      <c r="D7" s="20" t="n">
        <v>0.106855974215405</v>
      </c>
      <c r="E7" s="21" t="n">
        <v>0.608172927280216</v>
      </c>
    </row>
    <row r="8" ht="15" customHeight="1" s="12">
      <c r="A8" s="15" t="inlineStr">
        <is>
          <t>LC</t>
        </is>
      </c>
      <c r="B8" s="20" t="n">
        <v>0.342364181207915</v>
      </c>
      <c r="C8" s="20" t="n">
        <v>0.373227621659178</v>
      </c>
      <c r="D8" s="20" t="n">
        <v>0.195024162423581</v>
      </c>
      <c r="E8" s="21" t="n">
        <v>0.55753687407719</v>
      </c>
    </row>
    <row r="9" ht="15" customHeight="1" s="12">
      <c r="A9" s="15" t="inlineStr">
        <is>
          <t>FCO</t>
        </is>
      </c>
      <c r="B9" s="20" t="n">
        <v>0.323418235110018</v>
      </c>
      <c r="C9" s="20" t="n">
        <v>0.178921799723756</v>
      </c>
      <c r="D9" s="20" t="n">
        <v>0.00650744486255841</v>
      </c>
      <c r="E9" s="21" t="n">
        <v>0.287004851493431</v>
      </c>
    </row>
    <row r="10" ht="15" customHeight="1" s="12">
      <c r="A10" s="15" t="inlineStr">
        <is>
          <t>CP</t>
        </is>
      </c>
      <c r="B10" s="20" t="n">
        <v>0.30599872188187</v>
      </c>
      <c r="C10" s="20" t="n">
        <v>0.17114287593687</v>
      </c>
      <c r="D10" s="20" t="n">
        <v>0.20193913561241</v>
      </c>
      <c r="E10" s="21" t="n">
        <v>0.551880562359334</v>
      </c>
    </row>
    <row r="11" ht="15" customHeight="1" s="12">
      <c r="A11" s="15" t="inlineStr">
        <is>
          <t>ALV</t>
        </is>
      </c>
      <c r="B11" s="20" t="n">
        <v>0.176199453894981</v>
      </c>
      <c r="C11" s="20" t="n">
        <v>0.415384187135599</v>
      </c>
      <c r="D11" s="20" t="n">
        <v>0.00395481183124808</v>
      </c>
      <c r="E11" s="21" t="n">
        <v>0.682760454855237</v>
      </c>
    </row>
    <row r="13" ht="15" customHeight="1" s="12">
      <c r="A13" s="18" t="inlineStr">
        <is>
          <t>Fonte: 11. Estatísticas descritivas estimadas sobre a amostra completa.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11" min="1" max="1"/>
    <col width="15" customWidth="1" style="11" min="2" max="7"/>
  </cols>
  <sheetData>
    <row r="1" ht="15" customHeight="1" s="12">
      <c r="A1" s="13" t="inlineStr">
        <is>
          <t>Tabela 17 – Métricas de probabilidade e desempenho operacional</t>
        </is>
      </c>
    </row>
    <row r="3" ht="30" customHeight="1" s="12">
      <c r="A3" s="14" t="inlineStr">
        <is>
          <t>Modelo</t>
        </is>
      </c>
      <c r="B3" s="14" t="inlineStr">
        <is>
          <t>AUC precisão-revocação</t>
        </is>
      </c>
      <c r="C3" s="14" t="inlineStr">
        <is>
          <t>Brier</t>
        </is>
      </c>
      <c r="D3" s="14" t="inlineStr">
        <is>
          <t>Inclinação</t>
        </is>
      </c>
      <c r="E3" s="14" t="inlineStr">
        <is>
          <t>Firmas sinalizadas</t>
        </is>
      </c>
      <c r="F3" s="14" t="inlineStr">
        <is>
          <t>VPP</t>
        </is>
      </c>
      <c r="G3" s="14" t="inlineStr">
        <is>
          <t>Decisão líquida 10:1</t>
        </is>
      </c>
    </row>
    <row r="4" ht="15" customHeight="1" s="12">
      <c r="A4" s="15" t="inlineStr">
        <is>
          <t>Árvores impulsionadas</t>
        </is>
      </c>
      <c r="B4" s="20" t="n">
        <v>0.234261627665135</v>
      </c>
      <c r="C4" s="16" t="n">
        <v>0.0265137176514983</v>
      </c>
      <c r="D4" s="20" t="n">
        <v>1.01596915198933</v>
      </c>
      <c r="E4" s="21" t="n">
        <v>0.172017439556084</v>
      </c>
      <c r="F4" s="20" t="n">
        <v>0.13594470046083</v>
      </c>
      <c r="G4" s="17" t="n">
        <v>0.008244153785176379</v>
      </c>
    </row>
    <row r="5" ht="15" customHeight="1" s="12">
      <c r="A5" s="15" t="inlineStr">
        <is>
          <t>Cobertura de juros</t>
        </is>
      </c>
      <c r="B5" s="20" t="n">
        <v>0.214733717263813</v>
      </c>
      <c r="C5" s="16" t="n">
        <v>0.0279884457179383</v>
      </c>
      <c r="D5" s="20" t="n">
        <v>0.970449809886877</v>
      </c>
      <c r="E5" s="21" t="n">
        <v>0.186682520808561</v>
      </c>
      <c r="F5" s="20" t="n">
        <v>0.124203821656051</v>
      </c>
      <c r="G5" s="17" t="n">
        <v>0.00231866825208086</v>
      </c>
    </row>
    <row r="6" ht="15" customHeight="1" s="12">
      <c r="A6" s="15" t="inlineStr">
        <is>
          <t>Mínimos quadrados parciais</t>
        </is>
      </c>
      <c r="B6" s="20" t="n">
        <v>0.171928329526102</v>
      </c>
      <c r="C6" s="16" t="n">
        <v>0.0288484234983213</v>
      </c>
      <c r="D6" s="20" t="n">
        <v>1.00500507911664</v>
      </c>
      <c r="E6" s="21" t="n">
        <v>0.207689258818866</v>
      </c>
      <c r="F6" s="20" t="n">
        <v>0.112595419847328</v>
      </c>
      <c r="G6" s="17" t="n">
        <v>0.00370590566785573</v>
      </c>
    </row>
    <row r="7" ht="15" customHeight="1" s="12">
      <c r="A7" s="15" t="inlineStr">
        <is>
          <t>Retorno sobre ativos</t>
        </is>
      </c>
      <c r="B7" s="20" t="n">
        <v>0.17144107679132</v>
      </c>
      <c r="C7" s="16" t="n">
        <v>0.0289235936489408</v>
      </c>
      <c r="D7" s="20" t="n">
        <v>0.9681216349381651</v>
      </c>
      <c r="E7" s="21" t="n">
        <v>0.175782798256044</v>
      </c>
      <c r="F7" s="20" t="n">
        <v>0.133032694475761</v>
      </c>
      <c r="G7" s="17" t="n">
        <v>0.00307173999207293</v>
      </c>
    </row>
    <row r="8" ht="15" customHeight="1" s="12">
      <c r="A8" s="15" t="inlineStr">
        <is>
          <t>Componentes principais (F)</t>
        </is>
      </c>
      <c r="B8" s="20" t="n">
        <v>0.109522282672632</v>
      </c>
      <c r="C8" s="16" t="n">
        <v>0.0285132844958893</v>
      </c>
      <c r="D8" s="20" t="n">
        <v>0.973015511320882</v>
      </c>
      <c r="E8" s="21" t="n">
        <v>0.440943321442727</v>
      </c>
      <c r="F8" s="20" t="n">
        <v>0.0534831460674157</v>
      </c>
      <c r="G8" s="17" t="n">
        <v>0.00124851367419738</v>
      </c>
    </row>
    <row r="9" ht="15" customHeight="1" s="12">
      <c r="A9" s="15" t="inlineStr">
        <is>
          <t>Brito e Assaf Neto</t>
        </is>
      </c>
      <c r="B9" s="20" t="n">
        <v>0.07676792535361621</v>
      </c>
      <c r="C9" s="16" t="n">
        <v>0.0290237015411308</v>
      </c>
      <c r="D9" s="20" t="n">
        <v>0.738041435678831</v>
      </c>
      <c r="E9" s="21" t="n">
        <v>0.545977011494253</v>
      </c>
      <c r="F9" s="20" t="n">
        <v>0.0442831215970962</v>
      </c>
      <c r="G9" s="17" t="n">
        <v>-5.94530321046373e-05</v>
      </c>
    </row>
    <row r="10" ht="15" customHeight="1" s="12">
      <c r="A10" s="15" t="inlineStr">
        <is>
          <t>Referência sem informação</t>
        </is>
      </c>
      <c r="B10" s="20" t="n">
        <v>0.0295283392786366</v>
      </c>
      <c r="C10" s="16" t="n">
        <v>0.0286564164580823</v>
      </c>
      <c r="D10" s="20" t="n"/>
      <c r="E10" s="21" t="n"/>
      <c r="F10" s="20" t="n"/>
      <c r="G10" s="17" t="n">
        <v>-0.0675188267934998</v>
      </c>
    </row>
    <row r="12" ht="15" customHeight="1" s="12">
      <c r="A12" s="18" t="inlineStr">
        <is>
          <t>Fonte: 03. Limiar que atinge sensibilidade de 80% nas firmas de treino, aplicado às de teste.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11" min="1" max="1"/>
    <col width="15" customWidth="1" style="11" min="2" max="7"/>
  </cols>
  <sheetData>
    <row r="1" ht="15" customHeight="1" s="12">
      <c r="A1" s="13" t="inlineStr">
        <is>
          <t>Tabela 18 – Definições alternativas do evento</t>
        </is>
      </c>
    </row>
    <row r="3" ht="30" customHeight="1" s="12">
      <c r="A3" s="14" t="inlineStr">
        <is>
          <t>Definição</t>
        </is>
      </c>
      <c r="B3" s="14" t="inlineStr">
        <is>
          <t>Obs.</t>
        </is>
      </c>
      <c r="C3" s="14" t="inlineStr">
        <is>
          <t>Entradas</t>
        </is>
      </c>
      <c r="D3" s="14" t="inlineStr">
        <is>
          <t>Escore F</t>
        </is>
      </c>
      <c r="E3" s="14" t="inlineStr">
        <is>
          <t>Árvores</t>
        </is>
      </c>
      <c r="F3" s="14" t="inlineStr">
        <is>
          <t>Cobertura</t>
        </is>
      </c>
      <c r="G3" s="14" t="inlineStr">
        <is>
          <t>PLS</t>
        </is>
      </c>
    </row>
    <row r="4" ht="15" customHeight="1" s="12">
      <c r="A4" s="15" t="inlineStr">
        <is>
          <t>Definição principal</t>
        </is>
      </c>
      <c r="B4" s="22" t="n">
        <v>5046</v>
      </c>
      <c r="C4" s="19" t="n">
        <v>149</v>
      </c>
      <c r="D4" s="16" t="n">
        <v>0.763207716544714</v>
      </c>
      <c r="E4" s="16" t="n">
        <v>0.897094783410745</v>
      </c>
      <c r="F4" s="16" t="n">
        <v>0.893687136214063</v>
      </c>
      <c r="G4" s="16" t="n">
        <v>0.873822625275302</v>
      </c>
    </row>
    <row r="5" ht="15" customHeight="1" s="12">
      <c r="A5" s="15" t="inlineStr">
        <is>
          <t>Sem as entradas exclusivas do critério de EBITDA</t>
        </is>
      </c>
      <c r="B5" s="22" t="n">
        <v>4980</v>
      </c>
      <c r="C5" s="19" t="n">
        <v>83</v>
      </c>
      <c r="D5" s="16" t="n">
        <v>0.856667593387641</v>
      </c>
      <c r="E5" s="16" t="n">
        <v>0.85752083276951</v>
      </c>
      <c r="F5" s="16" t="n">
        <v>0.830629030313617</v>
      </c>
      <c r="G5" s="16" t="n">
        <v>0.856184632341906</v>
      </c>
    </row>
    <row r="6" ht="15" customHeight="1" s="12">
      <c r="A6" s="15" t="inlineStr">
        <is>
          <t>Restritiva: PL negativo ou recuperação judicial</t>
        </is>
      </c>
      <c r="B6" s="22" t="n">
        <v>5575</v>
      </c>
      <c r="C6" s="19" t="n">
        <v>81</v>
      </c>
      <c r="D6" s="16" t="n">
        <v>0.889054726368159</v>
      </c>
      <c r="E6" s="16" t="n">
        <v>0.9546189558081321</v>
      </c>
      <c r="F6" s="16" t="n">
        <v>0.900035729213014</v>
      </c>
      <c r="G6" s="16" t="n">
        <v>0.931884165441986</v>
      </c>
    </row>
    <row r="8" ht="15" customHeight="1" s="12">
      <c r="A8" s="18" t="inlineStr">
        <is>
          <t>Fonte: 08. Médias sobre dez atribuições, horizonte de um ano.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11" min="1" max="1"/>
    <col width="15" customWidth="1" style="11" min="2" max="8"/>
  </cols>
  <sheetData>
    <row r="1" ht="15" customHeight="1" s="12">
      <c r="A1" s="13" t="inlineStr">
        <is>
          <t>Tabela 19 – Sensibilidade das conclusões principais</t>
        </is>
      </c>
    </row>
    <row r="3" ht="30" customHeight="1" s="12">
      <c r="A3" s="14" t="inlineStr">
        <is>
          <t>Especificação</t>
        </is>
      </c>
      <c r="B3" s="14" t="inlineStr">
        <is>
          <t>Obs.</t>
        </is>
      </c>
      <c r="C3" s="14" t="inlineStr">
        <is>
          <t>Entradas</t>
        </is>
      </c>
      <c r="D3" s="14" t="inlineStr">
        <is>
          <t>Escore F</t>
        </is>
      </c>
      <c r="E3" s="14" t="inlineStr">
        <is>
          <t>PLS</t>
        </is>
      </c>
      <c r="F3" s="14" t="inlineStr">
        <is>
          <t>Cobertura</t>
        </is>
      </c>
      <c r="G3" s="14" t="inlineStr">
        <is>
          <t>ROA</t>
        </is>
      </c>
      <c r="H3" s="14" t="inlineStr">
        <is>
          <t>PLS menos F</t>
        </is>
      </c>
    </row>
    <row r="4" ht="15" customHeight="1" s="12">
      <c r="A4" s="15" t="inlineStr">
        <is>
          <t>Especificação principal</t>
        </is>
      </c>
      <c r="B4" s="22" t="n">
        <v>5046</v>
      </c>
      <c r="C4" s="19" t="n">
        <v>149</v>
      </c>
      <c r="D4" s="16" t="n">
        <v>0.764267398338662</v>
      </c>
      <c r="E4" s="16" t="n">
        <v>0.875253031235395</v>
      </c>
      <c r="F4" s="16" t="n">
        <v>0.893687136214063</v>
      </c>
      <c r="G4" s="16" t="n">
        <v>0.873875664185579</v>
      </c>
      <c r="H4" s="17">
        <f>E4-D4</f>
        <v/>
      </c>
    </row>
    <row r="5" ht="15" customHeight="1" s="12">
      <c r="A5" s="15" t="inlineStr">
        <is>
          <t>Excluídas as entradas exclusivamente por recuperação judicial</t>
        </is>
      </c>
      <c r="B5" s="22" t="n">
        <v>5035</v>
      </c>
      <c r="C5" s="19" t="n">
        <v>138</v>
      </c>
      <c r="D5" s="16" t="n">
        <v>0.759206316792594</v>
      </c>
      <c r="E5" s="16" t="n">
        <v>0.875920779655098</v>
      </c>
      <c r="F5" s="16" t="n">
        <v>0.898019491377448</v>
      </c>
      <c r="G5" s="16" t="n">
        <v>0.873017493703628</v>
      </c>
      <c r="H5" s="17">
        <f>E5-D5</f>
        <v/>
      </c>
    </row>
    <row r="6" ht="15" customHeight="1" s="12">
      <c r="A6" s="15" t="inlineStr">
        <is>
          <t>Somente a primeira entrada de cada firma</t>
        </is>
      </c>
      <c r="B6" s="22" t="n">
        <v>4629</v>
      </c>
      <c r="C6" s="19" t="n">
        <v>130</v>
      </c>
      <c r="D6" s="16" t="n">
        <v>0.789324123309453</v>
      </c>
      <c r="E6" s="16" t="n">
        <v>0.897084822268196</v>
      </c>
      <c r="F6" s="16" t="n">
        <v>0.90651426812796</v>
      </c>
      <c r="G6" s="16" t="n">
        <v>0.886800485577992</v>
      </c>
      <c r="H6" s="17">
        <f>E6-D6</f>
        <v/>
      </c>
    </row>
    <row r="7" ht="15" customHeight="1" s="12">
      <c r="A7" s="15" t="inlineStr">
        <is>
          <t>Saídas associadas a distress tratadas como evento</t>
        </is>
      </c>
      <c r="B7" s="22" t="n">
        <v>5052</v>
      </c>
      <c r="C7" s="19" t="n">
        <v>155</v>
      </c>
      <c r="D7" s="16" t="n">
        <v>0.7665311876263941</v>
      </c>
      <c r="E7" s="16" t="n">
        <v>0.877987181091781</v>
      </c>
      <c r="F7" s="16" t="n">
        <v>0.894770992114988</v>
      </c>
      <c r="G7" s="16" t="n">
        <v>0.875601256859038</v>
      </c>
      <c r="H7" s="17">
        <f>E7-D7</f>
        <v/>
      </c>
    </row>
    <row r="8" ht="15" customHeight="1" s="12">
      <c r="A8" s="15" t="inlineStr">
        <is>
          <t>Somente firmas com registro ativo ao fim do período</t>
        </is>
      </c>
      <c r="B8" s="22" t="n">
        <v>4201</v>
      </c>
      <c r="C8" s="19" t="n">
        <v>104</v>
      </c>
      <c r="D8" s="16" t="n">
        <v>0.744979910253281</v>
      </c>
      <c r="E8" s="16" t="n">
        <v>0.890046187641989</v>
      </c>
      <c r="F8" s="16" t="n">
        <v>0.90976629240908</v>
      </c>
      <c r="G8" s="16" t="n">
        <v>0.892249957755206</v>
      </c>
      <c r="H8" s="17">
        <f>E8-D8</f>
        <v/>
      </c>
    </row>
    <row r="10" ht="15" customHeight="1" s="12">
      <c r="A10" s="18" t="inlineStr">
        <is>
          <t>Fonte: 04, 05 e 07. Horizonte de um ano, atribuição de referência.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C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11" min="1" max="1"/>
    <col width="15" customWidth="1" style="11" min="2" max="3"/>
  </cols>
  <sheetData>
    <row r="1" ht="15" customHeight="1" s="12">
      <c r="A1" s="13" t="inlineStr">
        <is>
          <t>Tabela 20 – Efeito da inclusão de defasagens e variações</t>
        </is>
      </c>
    </row>
    <row r="3" ht="30" customHeight="1" s="12">
      <c r="A3" s="14" t="inlineStr">
        <is>
          <t>Especificação</t>
        </is>
      </c>
      <c r="B3" s="14" t="inlineStr">
        <is>
          <t>AUC fora da amostra</t>
        </is>
      </c>
      <c r="C3" s="14" t="inlineStr">
        <is>
          <t>Diferença</t>
        </is>
      </c>
    </row>
    <row r="4" ht="15" customHeight="1" s="12">
      <c r="A4" s="15" t="inlineStr">
        <is>
          <t>Escore sintético em nível</t>
        </is>
      </c>
      <c r="B4" s="16" t="n">
        <v>0.762685824631709</v>
      </c>
      <c r="C4" s="17" t="n"/>
    </row>
    <row r="5" ht="15" customHeight="1" s="12">
      <c r="A5" s="15" t="inlineStr">
        <is>
          <t>Escore em nível e defasado</t>
        </is>
      </c>
      <c r="B5" s="16" t="n">
        <v>0.778659170866151</v>
      </c>
      <c r="C5" s="17">
        <f>B5-B4</f>
        <v/>
      </c>
    </row>
    <row r="6" ht="15" customHeight="1" s="12">
      <c r="A6" s="15" t="inlineStr">
        <is>
          <t>Cobertura de juros em nível</t>
        </is>
      </c>
      <c r="B6" s="16" t="n">
        <v>0.886041035944483</v>
      </c>
      <c r="C6" s="17" t="n"/>
    </row>
    <row r="7" ht="15" customHeight="1" s="12">
      <c r="A7" s="15" t="inlineStr">
        <is>
          <t>Cobertura em nível e defasada</t>
        </is>
      </c>
      <c r="B7" s="16" t="n">
        <v>0.885591507195886</v>
      </c>
      <c r="C7" s="17">
        <f>B7-B6</f>
        <v/>
      </c>
    </row>
    <row r="8" ht="15" customHeight="1" s="12">
      <c r="A8" s="15" t="inlineStr">
        <is>
          <t>Escore supervisionado, oito níveis</t>
        </is>
      </c>
      <c r="B8" s="16" t="n">
        <v>0.875983515451866</v>
      </c>
      <c r="C8" s="17" t="n"/>
    </row>
    <row r="9" ht="15" customHeight="1" s="12">
      <c r="A9" s="15" t="inlineStr">
        <is>
          <t>Escore supervisionado, oito níveis e oito variações</t>
        </is>
      </c>
      <c r="B9" s="16" t="n">
        <v>0.853337134226818</v>
      </c>
      <c r="C9" s="17">
        <f>B9-B8</f>
        <v/>
      </c>
    </row>
    <row r="11" ht="15" customHeight="1" s="12">
      <c r="A11" s="18" t="inlineStr">
        <is>
          <t>Fonte: 05. Amostra de 5046 observações e 149 entradas; probit dentro de cada partição.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F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11" min="1" max="1"/>
    <col width="15" customWidth="1" style="11" min="2" max="6"/>
  </cols>
  <sheetData>
    <row r="1" ht="15" customHeight="1" s="12">
      <c r="A1" s="13" t="inlineStr">
        <is>
          <t>Estabilidade entre dez atribuições, horizonte de um ano</t>
        </is>
      </c>
    </row>
    <row r="3" ht="30" customHeight="1" s="12">
      <c r="A3" s="14" t="inlineStr">
        <is>
          <t>Atribuição</t>
        </is>
      </c>
      <c r="B3" s="14" t="inlineStr">
        <is>
          <t>PCA (F)</t>
        </is>
      </c>
      <c r="C3" s="14" t="inlineStr">
        <is>
          <t>PLS</t>
        </is>
      </c>
      <c r="D3" s="14" t="inlineStr">
        <is>
          <t>Árvores</t>
        </is>
      </c>
      <c r="E3" s="14" t="inlineStr">
        <is>
          <t>Brito e Assaf</t>
        </is>
      </c>
      <c r="F3" s="14" t="inlineStr">
        <is>
          <t>PLS menos F</t>
        </is>
      </c>
    </row>
    <row r="4" ht="15" customHeight="1" s="12">
      <c r="A4" s="15" t="inlineStr">
        <is>
          <t>Atribuição 1</t>
        </is>
      </c>
      <c r="B4" s="16" t="n">
        <v>0.764267398338662</v>
      </c>
      <c r="C4" s="16" t="n">
        <v>0.875253031235395</v>
      </c>
      <c r="D4" s="16" t="n">
        <v>0.900185430608796</v>
      </c>
      <c r="E4" s="16" t="n">
        <v>0.734498453374412</v>
      </c>
      <c r="F4" s="17">
        <f>C4-B4</f>
        <v/>
      </c>
    </row>
    <row r="5" ht="15" customHeight="1" s="12">
      <c r="A5" s="15" t="inlineStr">
        <is>
          <t>Atribuição 2</t>
        </is>
      </c>
      <c r="B5" s="16" t="n">
        <v>0.764651142392343</v>
      </c>
      <c r="C5" s="16" t="n">
        <v>0.874724012647108</v>
      </c>
      <c r="D5" s="16" t="n">
        <v>0.891410711667053</v>
      </c>
      <c r="E5" s="16" t="n">
        <v>0.739110234590963</v>
      </c>
      <c r="F5" s="17">
        <f>C5-B5</f>
        <v/>
      </c>
    </row>
    <row r="6" ht="15" customHeight="1" s="12">
      <c r="A6" s="15" t="inlineStr">
        <is>
          <t>Atribuição 3</t>
        </is>
      </c>
      <c r="B6" s="16" t="n">
        <v>0.761212521568472</v>
      </c>
      <c r="C6" s="16" t="n">
        <v>0.874192253029865</v>
      </c>
      <c r="D6" s="16" t="n">
        <v>0.90335611585233</v>
      </c>
      <c r="E6" s="16" t="n">
        <v>0.73342808156754</v>
      </c>
      <c r="F6" s="17">
        <f>C6-B6</f>
        <v/>
      </c>
    </row>
    <row r="7" ht="15" customHeight="1" s="12">
      <c r="A7" s="15" t="inlineStr">
        <is>
          <t>Atribuição 4</t>
        </is>
      </c>
      <c r="B7" s="16" t="n">
        <v>0.762180104789537</v>
      </c>
      <c r="C7" s="16" t="n">
        <v>0.877347177356908</v>
      </c>
      <c r="D7" s="16" t="n">
        <v>0.895519514070387</v>
      </c>
      <c r="E7" s="16" t="n">
        <v>0.733607618964083</v>
      </c>
      <c r="F7" s="17">
        <f>C7-B7</f>
        <v/>
      </c>
    </row>
    <row r="8" ht="15" customHeight="1" s="12">
      <c r="A8" s="15" t="inlineStr">
        <is>
          <t>Atribuição 5</t>
        </is>
      </c>
      <c r="B8" s="16" t="n">
        <v>0.765218535385999</v>
      </c>
      <c r="C8" s="16" t="n">
        <v>0.868708824605669</v>
      </c>
      <c r="D8" s="16" t="n">
        <v>0.891981530946902</v>
      </c>
      <c r="E8" s="16" t="n">
        <v>0.705465474684542</v>
      </c>
      <c r="F8" s="17">
        <f>C8-B8</f>
        <v/>
      </c>
    </row>
    <row r="9" ht="15" customHeight="1" s="12">
      <c r="A9" s="15" t="inlineStr">
        <is>
          <t>Atribuição 6</t>
        </is>
      </c>
      <c r="B9" s="16" t="n">
        <v>0.762594000161721</v>
      </c>
      <c r="C9" s="16" t="n">
        <v>0.875088569498104</v>
      </c>
      <c r="D9" s="16" t="n">
        <v>0.897446457425653</v>
      </c>
      <c r="E9" s="16" t="n">
        <v>0.7277130361966579</v>
      </c>
      <c r="F9" s="17">
        <f>C9-B9</f>
        <v/>
      </c>
    </row>
    <row r="10" ht="15" customHeight="1" s="12">
      <c r="A10" s="15" t="inlineStr">
        <is>
          <t>Atribuição 7</t>
        </is>
      </c>
      <c r="B10" s="16" t="n">
        <v>0.760266866579045</v>
      </c>
      <c r="C10" s="16" t="n">
        <v>0.870086191655486</v>
      </c>
      <c r="D10" s="16" t="n">
        <v>0.8983749809841119</v>
      </c>
      <c r="E10" s="16" t="n">
        <v>0.725224181905646</v>
      </c>
      <c r="F10" s="17">
        <f>C10-B10</f>
        <v/>
      </c>
    </row>
    <row r="11" ht="15" customHeight="1" s="12">
      <c r="A11" s="15" t="inlineStr">
        <is>
          <t>Atribuição 8</t>
        </is>
      </c>
      <c r="B11" s="16" t="n">
        <v>0.7638192401045431</v>
      </c>
      <c r="C11" s="16" t="n">
        <v>0.875402417313435</v>
      </c>
      <c r="D11" s="16" t="n">
        <v>0.898148846095336</v>
      </c>
      <c r="E11" s="16" t="n">
        <v>0.731634078116584</v>
      </c>
      <c r="F11" s="17">
        <f>C11-B11</f>
        <v/>
      </c>
    </row>
    <row r="12" ht="15" customHeight="1" s="12">
      <c r="A12" s="15" t="inlineStr">
        <is>
          <t>Atribuição 9</t>
        </is>
      </c>
      <c r="B12" s="16" t="n">
        <v>0.764874536252164</v>
      </c>
      <c r="C12" s="16" t="n">
        <v>0.876013666770369</v>
      </c>
      <c r="D12" s="16" t="n">
        <v>0.895207722026772</v>
      </c>
      <c r="E12" s="16" t="n">
        <v>0.705920485491049</v>
      </c>
      <c r="F12" s="17">
        <f>C12-B12</f>
        <v/>
      </c>
    </row>
    <row r="13" ht="15" customHeight="1" s="12">
      <c r="A13" s="15" t="inlineStr">
        <is>
          <t>Atribuição 10</t>
        </is>
      </c>
      <c r="B13" s="16" t="n">
        <v>0.7629928198746529</v>
      </c>
      <c r="C13" s="16" t="n">
        <v>0.871410108640683</v>
      </c>
      <c r="D13" s="16" t="n">
        <v>0.899316524430106</v>
      </c>
      <c r="E13" s="16" t="n">
        <v>0.717530113629355</v>
      </c>
      <c r="F13" s="17">
        <f>C13-B13</f>
        <v/>
      </c>
    </row>
    <row r="14" ht="15" customHeight="1" s="12">
      <c r="A14" s="15" t="inlineStr">
        <is>
          <t>Média</t>
        </is>
      </c>
      <c r="B14" s="16">
        <f>AVERAGE(B4:B13)</f>
        <v/>
      </c>
      <c r="C14" s="16">
        <f>AVERAGE(C4:C13)</f>
        <v/>
      </c>
      <c r="D14" s="16">
        <f>AVERAGE(D4:D13)</f>
        <v/>
      </c>
      <c r="E14" s="16">
        <f>AVERAGE(E4:E13)</f>
        <v/>
      </c>
      <c r="F14" s="17">
        <f>AVERAGE(F4:F13)</f>
        <v/>
      </c>
    </row>
    <row r="15" ht="15" customHeight="1" s="12">
      <c r="A15" s="15" t="inlineStr">
        <is>
          <t>Desvio-padrão</t>
        </is>
      </c>
      <c r="B15" s="16">
        <f>STDEV(B4:B13)</f>
        <v/>
      </c>
      <c r="C15" s="16">
        <f>STDEV(C4:C13)</f>
        <v/>
      </c>
      <c r="D15" s="16">
        <f>STDEV(D4:D13)</f>
        <v/>
      </c>
      <c r="E15" s="16">
        <f>STDEV(E4:E13)</f>
        <v/>
      </c>
      <c r="F15" s="17">
        <f>STDEV(F4:F13)</f>
        <v/>
      </c>
    </row>
    <row r="16" ht="15" customHeight="1" s="12">
      <c r="A16" s="15" t="inlineStr">
        <is>
          <t>Mínimo</t>
        </is>
      </c>
      <c r="B16" s="16">
        <f>MIN(B4:B13)</f>
        <v/>
      </c>
      <c r="C16" s="16">
        <f>MIN(C4:C13)</f>
        <v/>
      </c>
      <c r="D16" s="16">
        <f>MIN(D4:D13)</f>
        <v/>
      </c>
      <c r="E16" s="16">
        <f>MIN(E4:E13)</f>
        <v/>
      </c>
      <c r="F16" s="17">
        <f>MIN(F4:F13)</f>
        <v/>
      </c>
    </row>
    <row r="18" ht="15" customHeight="1" s="12">
      <c r="A18" s="18" t="inlineStr">
        <is>
          <t>Fonte: 01. A atribuição 1 é a de referência.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F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11" min="1" max="1"/>
    <col width="15" customWidth="1" style="11" min="2" max="6"/>
  </cols>
  <sheetData>
    <row r="1" ht="15" customHeight="1" s="12">
      <c r="A1" s="13" t="inlineStr">
        <is>
          <t>Estabilidade entre dez atribuições, horizonte de dois anos</t>
        </is>
      </c>
    </row>
    <row r="3" ht="30" customHeight="1" s="12">
      <c r="A3" s="14" t="inlineStr">
        <is>
          <t>Atribuição</t>
        </is>
      </c>
      <c r="B3" s="14" t="inlineStr">
        <is>
          <t>PCA (F)</t>
        </is>
      </c>
      <c r="C3" s="14" t="inlineStr">
        <is>
          <t>PLS</t>
        </is>
      </c>
      <c r="D3" s="14" t="inlineStr">
        <is>
          <t>Árvores</t>
        </is>
      </c>
      <c r="E3" s="14" t="inlineStr">
        <is>
          <t>Brito e Assaf</t>
        </is>
      </c>
      <c r="F3" s="14" t="inlineStr">
        <is>
          <t>PLS menos F</t>
        </is>
      </c>
    </row>
    <row r="4" ht="15" customHeight="1" s="12">
      <c r="A4" s="15" t="inlineStr">
        <is>
          <t>Atribuição 1</t>
        </is>
      </c>
      <c r="B4" s="16" t="n">
        <v>0.6266128172318191</v>
      </c>
      <c r="C4" s="16" t="n">
        <v>0.724754745148219</v>
      </c>
      <c r="D4" s="16" t="n">
        <v>0.751919385796545</v>
      </c>
      <c r="E4" s="16" t="n">
        <v>0.667237912439448</v>
      </c>
      <c r="F4" s="17">
        <f>C4-B4</f>
        <v/>
      </c>
    </row>
    <row r="5" ht="15" customHeight="1" s="12">
      <c r="A5" s="15" t="inlineStr">
        <is>
          <t>Atribuição 2</t>
        </is>
      </c>
      <c r="B5" s="16" t="n">
        <v>0.626995551899583</v>
      </c>
      <c r="C5" s="16" t="n">
        <v>0.720032446759894</v>
      </c>
      <c r="D5" s="16" t="n">
        <v>0.769741301831033</v>
      </c>
      <c r="E5" s="16" t="n">
        <v>0.667915790756482</v>
      </c>
      <c r="F5" s="17">
        <f>C5-B5</f>
        <v/>
      </c>
    </row>
    <row r="6" ht="15" customHeight="1" s="12">
      <c r="A6" s="15" t="inlineStr">
        <is>
          <t>Atribuição 3</t>
        </is>
      </c>
      <c r="B6" s="16" t="n">
        <v>0.625723577978856</v>
      </c>
      <c r="C6" s="16" t="n">
        <v>0.73743830545654</v>
      </c>
      <c r="D6" s="16" t="n">
        <v>0.765351278067209</v>
      </c>
      <c r="E6" s="16" t="n">
        <v>0.667106525911708</v>
      </c>
      <c r="F6" s="17">
        <f>C6-B6</f>
        <v/>
      </c>
    </row>
    <row r="7" ht="15" customHeight="1" s="12">
      <c r="A7" s="15" t="inlineStr">
        <is>
          <t>Atribuição 4</t>
        </is>
      </c>
      <c r="B7" s="16" t="n">
        <v>0.626254836547543</v>
      </c>
      <c r="C7" s="16" t="n">
        <v>0.725828687201048</v>
      </c>
      <c r="D7" s="16" t="n">
        <v>0.765650230021631</v>
      </c>
      <c r="E7" s="16" t="n">
        <v>0.677398470584651</v>
      </c>
      <c r="F7" s="17">
        <f>C7-B7</f>
        <v/>
      </c>
    </row>
    <row r="8" ht="15" customHeight="1" s="12">
      <c r="A8" s="15" t="inlineStr">
        <is>
          <t>Atribuição 5</t>
        </is>
      </c>
      <c r="B8" s="16" t="n">
        <v>0.6276353471650979</v>
      </c>
      <c r="C8" s="16" t="n">
        <v>0.723438975718246</v>
      </c>
      <c r="D8" s="16" t="n">
        <v>0.751772766048198</v>
      </c>
      <c r="E8" s="16" t="n">
        <v>0.665815510465223</v>
      </c>
      <c r="F8" s="17">
        <f>C8-B8</f>
        <v/>
      </c>
    </row>
    <row r="9" ht="15" customHeight="1" s="12">
      <c r="A9" s="15" t="inlineStr">
        <is>
          <t>Atribuição 6</t>
        </is>
      </c>
      <c r="B9" s="16" t="n">
        <v>0.6266623251987939</v>
      </c>
      <c r="C9" s="16" t="n">
        <v>0.723795052249947</v>
      </c>
      <c r="D9" s="16" t="n">
        <v>0.745784206196874</v>
      </c>
      <c r="E9" s="16" t="n">
        <v>0.669239176796758</v>
      </c>
      <c r="F9" s="17">
        <f>C9-B9</f>
        <v/>
      </c>
    </row>
    <row r="10" ht="15" customHeight="1" s="12">
      <c r="A10" s="15" t="inlineStr">
        <is>
          <t>Atribuição 7</t>
        </is>
      </c>
      <c r="B10" s="16" t="n">
        <v>0.626835603083204</v>
      </c>
      <c r="C10" s="16" t="n">
        <v>0.729101925479085</v>
      </c>
      <c r="D10" s="16" t="n">
        <v>0.768146574048685</v>
      </c>
      <c r="E10" s="16" t="n">
        <v>0.670943393352223</v>
      </c>
      <c r="F10" s="17">
        <f>C10-B10</f>
        <v/>
      </c>
    </row>
    <row r="11" ht="15" customHeight="1" s="12">
      <c r="A11" s="15" t="inlineStr">
        <is>
          <t>Atribuição 8</t>
        </is>
      </c>
      <c r="B11" s="16" t="n">
        <v>0.626650900283338</v>
      </c>
      <c r="C11" s="16" t="n">
        <v>0.7338584986137771</v>
      </c>
      <c r="D11" s="16" t="n">
        <v>0.737755346860433</v>
      </c>
      <c r="E11" s="16" t="n">
        <v>0.663745696615178</v>
      </c>
      <c r="F11" s="17">
        <f>C11-B11</f>
        <v/>
      </c>
    </row>
    <row r="12" ht="15" customHeight="1" s="12">
      <c r="A12" s="15" t="inlineStr">
        <is>
          <t>Atribuição 9</t>
        </is>
      </c>
      <c r="B12" s="16" t="n">
        <v>0.628852100661122</v>
      </c>
      <c r="C12" s="16" t="n">
        <v>0.722806797063035</v>
      </c>
      <c r="D12" s="16" t="n">
        <v>0.758155485482741</v>
      </c>
      <c r="E12" s="16" t="n">
        <v>0.653823157541968</v>
      </c>
      <c r="F12" s="17">
        <f>C12-B12</f>
        <v/>
      </c>
    </row>
    <row r="13" ht="15" customHeight="1" s="12">
      <c r="A13" s="15" t="inlineStr">
        <is>
          <t>Atribuição 10</t>
        </is>
      </c>
      <c r="B13" s="16" t="n">
        <v>0.625348459921397</v>
      </c>
      <c r="C13" s="16" t="n">
        <v>0.723608445297505</v>
      </c>
      <c r="D13" s="16" t="n">
        <v>0.757784175730433</v>
      </c>
      <c r="E13" s="16" t="n">
        <v>0.654594339335222</v>
      </c>
      <c r="F13" s="17">
        <f>C13-B13</f>
        <v/>
      </c>
    </row>
    <row r="14" ht="15" customHeight="1" s="12">
      <c r="A14" s="15" t="inlineStr">
        <is>
          <t>Média</t>
        </is>
      </c>
      <c r="B14" s="16">
        <f>AVERAGE(B4:B13)</f>
        <v/>
      </c>
      <c r="C14" s="16">
        <f>AVERAGE(C4:C13)</f>
        <v/>
      </c>
      <c r="D14" s="16">
        <f>AVERAGE(D4:D13)</f>
        <v/>
      </c>
      <c r="E14" s="16">
        <f>AVERAGE(E4:E13)</f>
        <v/>
      </c>
      <c r="F14" s="17">
        <f>AVERAGE(F4:F13)</f>
        <v/>
      </c>
    </row>
    <row r="15" ht="15" customHeight="1" s="12">
      <c r="A15" s="15" t="inlineStr">
        <is>
          <t>Desvio-padrão</t>
        </is>
      </c>
      <c r="B15" s="16">
        <f>STDEV(B4:B13)</f>
        <v/>
      </c>
      <c r="C15" s="16">
        <f>STDEV(C4:C13)</f>
        <v/>
      </c>
      <c r="D15" s="16">
        <f>STDEV(D4:D13)</f>
        <v/>
      </c>
      <c r="E15" s="16">
        <f>STDEV(E4:E13)</f>
        <v/>
      </c>
      <c r="F15" s="17">
        <f>STDEV(F4:F13)</f>
        <v/>
      </c>
    </row>
    <row r="16" ht="15" customHeight="1" s="12">
      <c r="A16" s="15" t="inlineStr">
        <is>
          <t>Mínimo</t>
        </is>
      </c>
      <c r="B16" s="16">
        <f>MIN(B4:B13)</f>
        <v/>
      </c>
      <c r="C16" s="16">
        <f>MIN(C4:C13)</f>
        <v/>
      </c>
      <c r="D16" s="16">
        <f>MIN(D4:D13)</f>
        <v/>
      </c>
      <c r="E16" s="16">
        <f>MIN(E4:E13)</f>
        <v/>
      </c>
      <c r="F16" s="17">
        <f>MIN(F4:F13)</f>
        <v/>
      </c>
    </row>
    <row r="18" ht="15" customHeight="1" s="12">
      <c r="A18" s="18" t="inlineStr">
        <is>
          <t>Fonte: 01. A atribuição 1 é a de referência.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I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11" min="1" max="1"/>
    <col width="15" customWidth="1" style="11" min="2" max="9"/>
  </cols>
  <sheetData>
    <row r="1" ht="15" customHeight="1" s="12">
      <c r="A1" s="13" t="inlineStr">
        <is>
          <t>Tabela 14 – Diferenças em relação ao escore sintético, subconjuntos puros</t>
        </is>
      </c>
    </row>
    <row r="3" ht="30" customHeight="1" s="12">
      <c r="A3" s="14" t="inlineStr">
        <is>
          <t>Tipo de entrada</t>
        </is>
      </c>
      <c r="B3" s="14" t="inlineStr">
        <is>
          <t>Entradas</t>
        </is>
      </c>
      <c r="C3" s="14" t="inlineStr">
        <is>
          <t>Escore F</t>
        </is>
      </c>
      <c r="D3" s="14" t="inlineStr">
        <is>
          <t>Cobertura menos F</t>
        </is>
      </c>
      <c r="E3" s="14" t="inlineStr">
        <is>
          <t>IC inferior</t>
        </is>
      </c>
      <c r="F3" s="14" t="inlineStr">
        <is>
          <t>IC superior</t>
        </is>
      </c>
      <c r="G3" s="14" t="inlineStr">
        <is>
          <t>PLS menos F</t>
        </is>
      </c>
      <c r="H3" s="14" t="inlineStr">
        <is>
          <t>IC inferior</t>
        </is>
      </c>
      <c r="I3" s="14" t="inlineStr">
        <is>
          <t>IC superior</t>
        </is>
      </c>
    </row>
    <row r="4" ht="15" customHeight="1" s="12">
      <c r="A4" s="15" t="inlineStr">
        <is>
          <t>Prejuízo operacional, um ano</t>
        </is>
      </c>
      <c r="B4" s="19" t="n">
        <v>66</v>
      </c>
      <c r="C4" s="16" t="n">
        <v>0.648909969616525</v>
      </c>
      <c r="D4" s="17" t="n">
        <v>0.324077511896585</v>
      </c>
      <c r="E4" s="17" t="n">
        <v>0.244100108700858</v>
      </c>
      <c r="F4" s="17" t="n">
        <v>0.411347735813248</v>
      </c>
      <c r="G4" s="17" t="n">
        <v>0.290647953911176</v>
      </c>
      <c r="H4" s="17" t="n">
        <v>0.21692673915229</v>
      </c>
      <c r="I4" s="17" t="n">
        <v>0.371379769878476</v>
      </c>
    </row>
    <row r="5" ht="15" customHeight="1" s="12">
      <c r="A5" s="15" t="inlineStr">
        <is>
          <t>Patrimônio negativo, um ano</t>
        </is>
      </c>
      <c r="B5" s="19" t="n">
        <v>51</v>
      </c>
      <c r="C5" s="16" t="n">
        <v>0.816061854596852</v>
      </c>
      <c r="D5" s="17" t="n">
        <v>-0.0295679227378106</v>
      </c>
      <c r="E5" s="17" t="n">
        <v>-0.0931150860370642</v>
      </c>
      <c r="F5" s="17" t="n">
        <v>0.0378691176104551</v>
      </c>
      <c r="G5" s="17" t="n">
        <v>-0.0658906813695459</v>
      </c>
      <c r="H5" s="17" t="n">
        <v>-0.128871306387324</v>
      </c>
      <c r="I5" s="17" t="n">
        <v>-0.00336011975959002</v>
      </c>
    </row>
    <row r="6" ht="15" customHeight="1" s="12">
      <c r="A6" s="15" t="inlineStr">
        <is>
          <t>Recuperação judicial, um ano</t>
        </is>
      </c>
      <c r="B6" s="19" t="n">
        <v>11</v>
      </c>
      <c r="C6" s="16" t="n">
        <v>0.8277609668257</v>
      </c>
      <c r="D6" s="17" t="n">
        <v>0.0115748046113576</v>
      </c>
      <c r="E6" s="17" t="n">
        <v>-0.0966075553574374</v>
      </c>
      <c r="F6" s="17" t="n">
        <v>0.116685770171869</v>
      </c>
      <c r="G6" s="17" t="n">
        <v>0.0627657007072976</v>
      </c>
      <c r="H6" s="17" t="n">
        <v>-0.000664281309838832</v>
      </c>
      <c r="I6" s="17" t="n">
        <v>0.136326109061503</v>
      </c>
    </row>
    <row r="7" ht="15" customHeight="1" s="12">
      <c r="A7" s="15" t="inlineStr">
        <is>
          <t>Prejuízo operacional, dois anos</t>
        </is>
      </c>
      <c r="B7" s="19" t="n">
        <v>52</v>
      </c>
      <c r="C7" s="16" t="n">
        <v>0.377496124317142</v>
      </c>
      <c r="D7" s="17" t="n">
        <v>0.144636793149269</v>
      </c>
      <c r="E7" s="17" t="n">
        <v>0.0572070649833604</v>
      </c>
      <c r="F7" s="17" t="n">
        <v>0.23266212297695</v>
      </c>
      <c r="G7" s="17" t="n">
        <v>0.275247305477632</v>
      </c>
      <c r="H7" s="17" t="n">
        <v>0.195950480463531</v>
      </c>
      <c r="I7" s="17" t="n">
        <v>0.353055807344646</v>
      </c>
    </row>
    <row r="8" ht="15" customHeight="1" s="12">
      <c r="A8" s="15" t="inlineStr">
        <is>
          <t>Patrimônio negativo, dois anos</t>
        </is>
      </c>
      <c r="B8" s="19" t="n">
        <v>46</v>
      </c>
      <c r="C8" s="16" t="n">
        <v>0.795590628390219</v>
      </c>
      <c r="D8" s="17" t="n">
        <v>-0.00482193524159225</v>
      </c>
      <c r="E8" s="17" t="n">
        <v>-0.0689285262538219</v>
      </c>
      <c r="F8" s="17" t="n">
        <v>0.0631841407302173</v>
      </c>
      <c r="G8" s="17" t="n">
        <v>-0.0824918634732538</v>
      </c>
      <c r="H8" s="17" t="n">
        <v>-0.139293051181214</v>
      </c>
      <c r="I8" s="17" t="n">
        <v>-0.0231236879844152</v>
      </c>
    </row>
    <row r="9" ht="15" customHeight="1" s="12">
      <c r="A9" s="15" t="inlineStr">
        <is>
          <t>Recuperação judicial, dois anos</t>
        </is>
      </c>
      <c r="B9" s="19" t="n">
        <v>9</v>
      </c>
      <c r="C9" s="16" t="n">
        <v>0.800890381744508</v>
      </c>
      <c r="D9" s="17" t="n">
        <v>-0.0875986351034336</v>
      </c>
      <c r="E9" s="17" t="n">
        <v>-0.240416027723596</v>
      </c>
      <c r="F9" s="17" t="n">
        <v>0.069014733739918</v>
      </c>
      <c r="G9" s="17" t="n">
        <v>0.0533162721262529</v>
      </c>
      <c r="H9" s="17" t="n">
        <v>-0.0261072601981677</v>
      </c>
      <c r="I9" s="17" t="n">
        <v>0.147880759690188</v>
      </c>
    </row>
    <row r="11" ht="15" customHeight="1" s="12">
      <c r="A11" s="18" t="inlineStr">
        <is>
          <t>Fonte: 13. Cada entrada satisfaz um único critério. Bootstrap agrupado por firma, sem correção por multiplicidade.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11" min="1" max="1"/>
    <col width="15" customWidth="1" style="11" min="2" max="4"/>
  </cols>
  <sheetData>
    <row r="1" ht="15" customHeight="1" s="12">
      <c r="A1" s="13" t="inlineStr">
        <is>
          <t>Tabela 15 – Perfil das firmas no momento da previsão, por rota de deterioração</t>
        </is>
      </c>
    </row>
    <row r="3" ht="30" customHeight="1" s="12">
      <c r="A3" s="14" t="inlineStr">
        <is>
          <t>Mediana no exercício t</t>
        </is>
      </c>
      <c r="B3" s="14" t="inlineStr">
        <is>
          <t>Entram por prejuízo operacional</t>
        </is>
      </c>
      <c r="C3" s="14" t="inlineStr">
        <is>
          <t>Entram por patrimônio negativo</t>
        </is>
      </c>
      <c r="D3" s="14" t="inlineStr">
        <is>
          <t>Não entram</t>
        </is>
      </c>
    </row>
    <row r="4" ht="15" customHeight="1" s="12">
      <c r="A4" s="15" t="inlineStr">
        <is>
          <t>Alavancagem</t>
        </is>
      </c>
      <c r="B4" s="20" t="n">
        <v>0.213065036228923</v>
      </c>
      <c r="C4" s="20" t="n">
        <v>0.425126544113893</v>
      </c>
      <c r="D4" s="20" t="n">
        <v>0.326386397196832</v>
      </c>
    </row>
    <row r="5" ht="15" customHeight="1" s="12">
      <c r="A5" s="15" t="inlineStr">
        <is>
          <t>Liquidez corrente</t>
        </is>
      </c>
      <c r="B5" s="20" t="n">
        <v>1.99804941015869</v>
      </c>
      <c r="C5" s="20" t="n">
        <v>0.943732022580715</v>
      </c>
      <c r="D5" s="20" t="n">
        <v>1.43043910867033</v>
      </c>
    </row>
    <row r="6" ht="15" customHeight="1" s="12">
      <c r="A6" s="15" t="inlineStr">
        <is>
          <t>Capital de giro sobre ativo</t>
        </is>
      </c>
      <c r="B6" s="20" t="n">
        <v>0.176364759295332</v>
      </c>
      <c r="C6" s="20" t="n">
        <v>-0.024871125548301</v>
      </c>
      <c r="D6" s="20" t="n">
        <v>0.084351266928543</v>
      </c>
    </row>
    <row r="7" ht="15" customHeight="1" s="12">
      <c r="A7" s="15" t="inlineStr">
        <is>
          <t>Cobertura de juros</t>
        </is>
      </c>
      <c r="B7" s="20" t="n">
        <v>1.41109589230522</v>
      </c>
      <c r="C7" s="20" t="n">
        <v>0.37655960009212</v>
      </c>
      <c r="D7" s="20" t="n">
        <v>1.50992137747865</v>
      </c>
    </row>
    <row r="8" ht="15" customHeight="1" s="12">
      <c r="A8" s="15" t="inlineStr">
        <is>
          <t>Retorno sobre ativos</t>
        </is>
      </c>
      <c r="B8" s="20" t="n">
        <v>0.0163713580410209</v>
      </c>
      <c r="C8" s="20" t="n">
        <v>-0.0336808481906868</v>
      </c>
      <c r="D8" s="20" t="n">
        <v>0.0396492206621962</v>
      </c>
    </row>
    <row r="9" ht="15" customHeight="1" s="12">
      <c r="A9" s="15" t="inlineStr">
        <is>
          <t>Margem EBITDA</t>
        </is>
      </c>
      <c r="B9" s="20" t="n">
        <v>0.132044750505732</v>
      </c>
      <c r="C9" s="20" t="n">
        <v>0.117722059244612</v>
      </c>
      <c r="D9" s="20" t="n">
        <v>0.211605259184521</v>
      </c>
    </row>
    <row r="10" ht="15" customHeight="1" s="12">
      <c r="A10" s="15" t="inlineStr">
        <is>
          <t>Logaritmo do ativo real</t>
        </is>
      </c>
      <c r="B10" s="20" t="n">
        <v>21.5013478037086</v>
      </c>
      <c r="C10" s="20" t="n">
        <v>21.4529774714187</v>
      </c>
      <c r="D10" s="20" t="n">
        <v>22.1714420501993</v>
      </c>
    </row>
    <row r="11" ht="15" customHeight="1" s="12">
      <c r="A11" s="15" t="inlineStr">
        <is>
          <t>Observações</t>
        </is>
      </c>
      <c r="B11" s="20" t="n">
        <v>52</v>
      </c>
      <c r="C11" s="20" t="n">
        <v>65</v>
      </c>
      <c r="D11" s="20" t="n">
        <v>4193</v>
      </c>
    </row>
    <row r="13" ht="15" customHeight="1" s="12">
      <c r="A13" s="18" t="inlineStr">
        <is>
          <t>Fonte: 13. Horizonte de dois anos, sobre a amostra de risco.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Thomas G. M. Lopes</dc:creator>
  <dc:language xmlns:dc="http://purl.org/dc/elements/1.1/">en-US</dc:language>
  <dcterms:created xmlns:dcterms="http://purl.org/dc/terms/" xmlns:xsi="http://www.w3.org/2001/XMLSchema-instance" xsi:type="dcterms:W3CDTF">2026-09-23T18:44:50Z</dcterms:created>
  <dcterms:modified xmlns:dcterms="http://purl.org/dc/terms/" xmlns:xsi="http://www.w3.org/2001/XMLSchema-instance" xsi:type="dcterms:W3CDTF">2026-09-28T22:57:32Z</dcterms:modified>
  <cp:lastModifiedBy>Thomas G. M. Lopes</cp:lastModifiedBy>
  <cp:revision>0</cp:revision>
</cp:coreProperties>
</file>