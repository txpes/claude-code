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umeracao_final" sheetId="1" state="visible" r:id="rId1"/>
    <sheet xmlns:r="http://schemas.openxmlformats.org/officeDocument/2006/relationships" name="T10_um_ano" sheetId="2" state="visible" r:id="rId2"/>
    <sheet xmlns:r="http://schemas.openxmlformats.org/officeDocument/2006/relationships" name="T10_dois_anos" sheetId="3" state="visible" r:id="rId3"/>
    <sheet xmlns:r="http://schemas.openxmlformats.org/officeDocument/2006/relationships" name="T11_temporal" sheetId="4" state="visible" r:id="rId4"/>
    <sheet xmlns:r="http://schemas.openxmlformats.org/officeDocument/2006/relationships" name="T13_decomposicao" sheetId="5" state="visible" r:id="rId5"/>
    <sheet xmlns:r="http://schemas.openxmlformats.org/officeDocument/2006/relationships" name="T16_diagnostico" sheetId="6" state="visible" r:id="rId6"/>
    <sheet xmlns:r="http://schemas.openxmlformats.org/officeDocument/2006/relationships" name="T17_metricas" sheetId="7" state="visible" r:id="rId7"/>
    <sheet xmlns:r="http://schemas.openxmlformats.org/officeDocument/2006/relationships" name="T18_definicoes" sheetId="8" state="visible" r:id="rId8"/>
    <sheet xmlns:r="http://schemas.openxmlformats.org/officeDocument/2006/relationships" name="T19_sensibilidade" sheetId="9" state="visible" r:id="rId9"/>
    <sheet xmlns:r="http://schemas.openxmlformats.org/officeDocument/2006/relationships" name="T20_defasagens" sheetId="10" state="visible" r:id="rId10"/>
    <sheet xmlns:r="http://schemas.openxmlformats.org/officeDocument/2006/relationships" name="Estabilidade_h1" sheetId="11" state="visible" r:id="rId11"/>
    <sheet xmlns:r="http://schemas.openxmlformats.org/officeDocument/2006/relationships" name="Estabilidade_h2" sheetId="12" state="visible" r:id="rId12"/>
    <sheet xmlns:r="http://schemas.openxmlformats.org/officeDocument/2006/relationships" name="T14_puros" sheetId="13" state="visible" r:id="rId13"/>
    <sheet xmlns:r="http://schemas.openxmlformats.org/officeDocument/2006/relationships" name="T15_perfil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0"/>
    <numFmt numFmtId="165" formatCode="\+0.0000;\-0.0000"/>
    <numFmt numFmtId="166" formatCode="0.000"/>
    <numFmt numFmtId="167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sz val="11"/>
    </font>
    <font>
      <name val="Times New Roman"/>
      <charset val="1"/>
      <family val="0"/>
      <b val="1"/>
      <sz val="10"/>
    </font>
    <font>
      <name val="Times New Roman"/>
      <charset val="1"/>
      <family val="0"/>
      <sz val="10"/>
    </font>
    <font>
      <name val="Times New Roman"/>
      <charset val="1"/>
      <family val="0"/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bottom"/>
    </xf>
    <xf numFmtId="164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style="11" min="1" max="1"/>
    <col width="24" customWidth="1" style="11" min="2" max="2"/>
  </cols>
  <sheetData>
    <row r="1">
      <c r="A1" s="12" t="inlineStr">
        <is>
          <t>Numeração das tabelas: abas desta planilha e versão 4 do artigo (com a Tabela 1 do panorama e o Apêndice A)</t>
        </is>
      </c>
    </row>
    <row r="3">
      <c r="A3" s="12" t="inlineStr">
        <is>
          <t>Tabela nas abas e no original</t>
        </is>
      </c>
      <c r="B3" s="12" t="inlineStr">
        <is>
          <t>Tabela na versão final</t>
        </is>
      </c>
      <c r="C3" s="12" t="inlineStr">
        <is>
          <t>Local</t>
        </is>
      </c>
    </row>
    <row r="4">
      <c r="A4" t="n">
        <v>1</v>
      </c>
      <c r="B4" t="inlineStr">
        <is>
          <t>2</t>
        </is>
      </c>
      <c r="C4" t="inlineStr">
        <is>
          <t>Corpo</t>
        </is>
      </c>
    </row>
    <row r="5">
      <c r="A5" t="n">
        <v>2</v>
      </c>
      <c r="B5" t="inlineStr">
        <is>
          <t>3</t>
        </is>
      </c>
      <c r="C5" t="inlineStr">
        <is>
          <t>Corpo</t>
        </is>
      </c>
    </row>
    <row r="6">
      <c r="A6" t="n">
        <v>3</v>
      </c>
      <c r="B6" t="inlineStr">
        <is>
          <t>4</t>
        </is>
      </c>
      <c r="C6" t="inlineStr">
        <is>
          <t>Corpo</t>
        </is>
      </c>
    </row>
    <row r="7">
      <c r="A7" t="n">
        <v>4</v>
      </c>
      <c r="B7" t="inlineStr">
        <is>
          <t>5</t>
        </is>
      </c>
      <c r="C7" t="inlineStr">
        <is>
          <t>Corpo</t>
        </is>
      </c>
    </row>
    <row r="8">
      <c r="A8" t="n">
        <v>5</v>
      </c>
      <c r="B8" t="inlineStr">
        <is>
          <t>6</t>
        </is>
      </c>
      <c r="C8" t="inlineStr">
        <is>
          <t>Corpo</t>
        </is>
      </c>
    </row>
    <row r="9">
      <c r="A9" t="n">
        <v>6</v>
      </c>
      <c r="B9" t="inlineStr">
        <is>
          <t>7</t>
        </is>
      </c>
      <c r="C9" t="inlineStr">
        <is>
          <t>Corpo</t>
        </is>
      </c>
    </row>
    <row r="10">
      <c r="A10" t="n">
        <v>7</v>
      </c>
      <c r="B10" t="inlineStr">
        <is>
          <t>8</t>
        </is>
      </c>
      <c r="C10" t="inlineStr">
        <is>
          <t>Corpo</t>
        </is>
      </c>
    </row>
    <row r="11">
      <c r="A11" t="n">
        <v>8</v>
      </c>
      <c r="B11" t="inlineStr">
        <is>
          <t>A.1</t>
        </is>
      </c>
      <c r="C11" t="inlineStr">
        <is>
          <t>Apêndice A</t>
        </is>
      </c>
    </row>
    <row r="12">
      <c r="A12" t="n">
        <v>9</v>
      </c>
      <c r="B12" t="inlineStr">
        <is>
          <t>A.2</t>
        </is>
      </c>
      <c r="C12" t="inlineStr">
        <is>
          <t>Apêndice A</t>
        </is>
      </c>
    </row>
    <row r="13">
      <c r="A13" t="n">
        <v>10</v>
      </c>
      <c r="B13" t="inlineStr">
        <is>
          <t>9</t>
        </is>
      </c>
      <c r="C13" t="inlineStr">
        <is>
          <t>Corpo</t>
        </is>
      </c>
    </row>
    <row r="14">
      <c r="A14" t="n">
        <v>11</v>
      </c>
      <c r="B14" t="inlineStr">
        <is>
          <t>A.3</t>
        </is>
      </c>
      <c r="C14" t="inlineStr">
        <is>
          <t>Apêndice A</t>
        </is>
      </c>
    </row>
    <row r="15">
      <c r="A15" t="n">
        <v>12</v>
      </c>
      <c r="B15" t="inlineStr">
        <is>
          <t>10</t>
        </is>
      </c>
      <c r="C15" t="inlineStr">
        <is>
          <t>Corpo</t>
        </is>
      </c>
    </row>
    <row r="16">
      <c r="A16" t="n">
        <v>13</v>
      </c>
      <c r="B16" t="inlineStr">
        <is>
          <t>11</t>
        </is>
      </c>
      <c r="C16" t="inlineStr">
        <is>
          <t>Corpo</t>
        </is>
      </c>
    </row>
    <row r="17">
      <c r="A17" t="n">
        <v>14</v>
      </c>
      <c r="B17" t="inlineStr">
        <is>
          <t>12</t>
        </is>
      </c>
      <c r="C17" t="inlineStr">
        <is>
          <t>Corpo</t>
        </is>
      </c>
    </row>
    <row r="18">
      <c r="A18" t="n">
        <v>15</v>
      </c>
      <c r="B18" t="inlineStr">
        <is>
          <t>13</t>
        </is>
      </c>
      <c r="C18" t="inlineStr">
        <is>
          <t>Corpo</t>
        </is>
      </c>
    </row>
    <row r="19">
      <c r="A19" t="n">
        <v>16</v>
      </c>
      <c r="B19" t="inlineStr">
        <is>
          <t>14</t>
        </is>
      </c>
      <c r="C19" t="inlineStr">
        <is>
          <t>Corpo</t>
        </is>
      </c>
    </row>
    <row r="20">
      <c r="A20" t="n">
        <v>17</v>
      </c>
      <c r="B20" t="inlineStr">
        <is>
          <t>15</t>
        </is>
      </c>
      <c r="C20" t="inlineStr">
        <is>
          <t>Corpo</t>
        </is>
      </c>
    </row>
    <row r="21">
      <c r="A21" t="n">
        <v>18</v>
      </c>
      <c r="B21" t="inlineStr">
        <is>
          <t>A.4</t>
        </is>
      </c>
      <c r="C21" t="inlineStr">
        <is>
          <t>Apêndice A</t>
        </is>
      </c>
    </row>
    <row r="22">
      <c r="A22" t="n">
        <v>19</v>
      </c>
      <c r="B22" t="inlineStr">
        <is>
          <t>A.5</t>
        </is>
      </c>
      <c r="C22" t="inlineStr">
        <is>
          <t>Apêndice A</t>
        </is>
      </c>
    </row>
    <row r="23">
      <c r="A23" t="n">
        <v>20</v>
      </c>
      <c r="B23" t="inlineStr">
        <is>
          <t>A.6</t>
        </is>
      </c>
      <c r="C23" t="inlineStr">
        <is>
          <t>Apêndice A</t>
        </is>
      </c>
    </row>
    <row r="25">
      <c r="A25" t="inlineStr">
        <is>
          <t>A Tabela 1 da versão 4 (panorama, seção 2) não tem aba: é gerada pelo script 17_panorama.py.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7"/>
  </cols>
  <sheetData>
    <row r="1" ht="15" customHeight="1" s="11">
      <c r="A1" s="14" t="inlineStr">
        <is>
          <t>Tabela 10 – Desempenho fora da amostra, horizonte de um ano</t>
        </is>
      </c>
    </row>
    <row r="3" ht="30" customHeight="1" s="11">
      <c r="A3" s="15" t="inlineStr">
        <is>
          <t>Modelo</t>
        </is>
      </c>
      <c r="B3" s="15" t="inlineStr">
        <is>
          <t>AUC</t>
        </is>
      </c>
      <c r="C3" s="15" t="inlineStr">
        <is>
          <t>Diferença contra F</t>
        </is>
      </c>
      <c r="D3" s="15" t="inlineStr">
        <is>
          <t>IC 95% inferior</t>
        </is>
      </c>
      <c r="E3" s="15" t="inlineStr">
        <is>
          <t>IC 95% superior</t>
        </is>
      </c>
      <c r="F3" s="15" t="inlineStr">
        <is>
          <t>p bootstrap</t>
        </is>
      </c>
      <c r="G3" s="15" t="inlineStr">
        <is>
          <t>p ajustado</t>
        </is>
      </c>
    </row>
    <row r="4" ht="15" customHeight="1" s="11">
      <c r="A4" s="16" t="inlineStr">
        <is>
          <t>Componentes principais (F)</t>
        </is>
      </c>
      <c r="B4" s="17" t="n">
        <v>0.76321274398884</v>
      </c>
      <c r="C4" s="18" t="n"/>
      <c r="D4" s="18" t="n"/>
      <c r="E4" s="18" t="n"/>
      <c r="F4" s="17" t="n"/>
      <c r="G4" s="17" t="n"/>
    </row>
    <row r="5" ht="15" customHeight="1" s="11">
      <c r="A5" s="16" t="inlineStr">
        <is>
          <t>Árvores impulsionadas</t>
        </is>
      </c>
      <c r="B5" s="17" t="n">
        <v>0.8968917167367831</v>
      </c>
      <c r="C5" s="18">
        <f>B5-$B$4</f>
        <v/>
      </c>
      <c r="D5" s="18" t="n">
        <v>0.0867951986480982</v>
      </c>
      <c r="E5" s="18" t="n">
        <v>0.1784190651900804</v>
      </c>
      <c r="F5" s="17" t="n">
        <v>0.0005</v>
      </c>
      <c r="G5" s="17">
        <f>MIN(1,F5*6)</f>
        <v/>
      </c>
    </row>
    <row r="6" ht="15" customHeight="1" s="11">
      <c r="A6" s="16" t="inlineStr">
        <is>
          <t>Cobertura de juros</t>
        </is>
      </c>
      <c r="B6" s="17" t="n">
        <v>0.8941765342325816</v>
      </c>
      <c r="C6" s="18">
        <f>B6-$B$4</f>
        <v/>
      </c>
      <c r="D6" s="18" t="n">
        <v>0.07928160544217169</v>
      </c>
      <c r="E6" s="18" t="n">
        <v>0.1773994536971488</v>
      </c>
      <c r="F6" s="17" t="n">
        <v>0.0005</v>
      </c>
      <c r="G6" s="17">
        <f>MIN(1,F6*6)</f>
        <v/>
      </c>
    </row>
    <row r="7" ht="15" customHeight="1" s="11">
      <c r="A7" s="16" t="inlineStr">
        <is>
          <t>Mínimos quadrados parciais</t>
        </is>
      </c>
      <c r="B7" s="17" t="n">
        <v>0.8767190434868573</v>
      </c>
      <c r="C7" s="18">
        <f>B7-$B$4</f>
        <v/>
      </c>
      <c r="D7" s="18" t="n">
        <v>0.0660555626771604</v>
      </c>
      <c r="E7" s="18" t="n">
        <v>0.1585463387211497</v>
      </c>
      <c r="F7" s="17" t="n">
        <v>0.0005</v>
      </c>
      <c r="G7" s="17">
        <f>F7</f>
        <v/>
      </c>
    </row>
    <row r="8" ht="15" customHeight="1" s="11">
      <c r="A8" s="16" t="inlineStr">
        <is>
          <t>Retorno sobre ativos</t>
        </is>
      </c>
      <c r="B8" s="17" t="n">
        <v>0.8742146223047266</v>
      </c>
      <c r="C8" s="18">
        <f>B8-$B$4</f>
        <v/>
      </c>
      <c r="D8" s="18" t="n">
        <v>0.0637250438088823</v>
      </c>
      <c r="E8" s="18" t="n">
        <v>0.1572283507001996</v>
      </c>
      <c r="F8" s="17" t="n">
        <v>0.0005</v>
      </c>
      <c r="G8" s="17">
        <f>MIN(1,F8*6)</f>
        <v/>
      </c>
    </row>
    <row r="9" ht="15" customHeight="1" s="11">
      <c r="A9" s="16" t="inlineStr">
        <is>
          <t>Brito e Assaf Neto</t>
        </is>
      </c>
      <c r="B9" s="17" t="n">
        <v>0.7352233658102572</v>
      </c>
      <c r="C9" s="18">
        <f>B9-$B$4</f>
        <v/>
      </c>
      <c r="D9" s="18" t="n">
        <v>-0.0734830669537468</v>
      </c>
      <c r="E9" s="18" t="n">
        <v>0.0186818782471502</v>
      </c>
      <c r="F9" s="17" t="n">
        <v>0.222</v>
      </c>
      <c r="G9" s="17">
        <f>MIN(1,F9*6)</f>
        <v/>
      </c>
    </row>
    <row r="10" ht="15" customHeight="1" s="11">
      <c r="A10" s="16" t="inlineStr">
        <is>
          <t>Liquidez corrente</t>
        </is>
      </c>
      <c r="B10" s="17" t="n">
        <v>0.6040886323443799</v>
      </c>
      <c r="C10" s="18">
        <f>B10-$B$4</f>
        <v/>
      </c>
      <c r="D10" s="18" t="n">
        <v>-0.1931638302215448</v>
      </c>
      <c r="E10" s="18" t="n">
        <v>-0.1255562405259627</v>
      </c>
      <c r="F10" s="17" t="n">
        <v>0.0005</v>
      </c>
      <c r="G10" s="17">
        <f>MIN(1,F10*6)</f>
        <v/>
      </c>
    </row>
    <row r="11" ht="15" customHeight="1" s="11">
      <c r="A11" s="16" t="inlineStr">
        <is>
          <t>Alavancagem</t>
        </is>
      </c>
      <c r="B11" s="17" t="n">
        <v>0.5308164632739815</v>
      </c>
      <c r="C11" s="18">
        <f>B11-$B$4</f>
        <v/>
      </c>
      <c r="D11" s="18" t="n">
        <v>-0.2817473419136437</v>
      </c>
      <c r="E11" s="18" t="n">
        <v>-0.1825844403048875</v>
      </c>
      <c r="F11" s="17" t="n">
        <v>0.0005</v>
      </c>
      <c r="G11" s="17">
        <f>MIN(1,F11*6)</f>
        <v/>
      </c>
    </row>
    <row r="12">
      <c r="A12" t="inlineStr">
        <is>
          <t>Fonte: 01 e 02. Validação cruzada agrupada por firma, atribuição de referência. Diferença por fórmula. p ajustado por Bonferroni para as seis comparações contra benchmarks e referência não linear; a comparação com mínimos quadrados parciais responde a H4 e não é ajustada.</t>
        </is>
      </c>
    </row>
    <row r="13" ht="15" customHeight="1" s="11">
      <c r="A13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7"/>
  </cols>
  <sheetData>
    <row r="1" ht="15" customHeight="1" s="11">
      <c r="A1" s="14" t="inlineStr">
        <is>
          <t>Tabela 10 – Desempenho fora da amostra, horizonte de dois anos</t>
        </is>
      </c>
    </row>
    <row r="3" ht="30" customHeight="1" s="11">
      <c r="A3" s="15" t="inlineStr">
        <is>
          <t>Modelo</t>
        </is>
      </c>
      <c r="B3" s="15" t="inlineStr">
        <is>
          <t>AUC</t>
        </is>
      </c>
      <c r="C3" s="15" t="inlineStr">
        <is>
          <t>Diferença contra F</t>
        </is>
      </c>
      <c r="D3" s="15" t="inlineStr">
        <is>
          <t>IC 95% inferior</t>
        </is>
      </c>
      <c r="E3" s="15" t="inlineStr">
        <is>
          <t>IC 95% superior</t>
        </is>
      </c>
      <c r="F3" s="15" t="inlineStr">
        <is>
          <t>p bootstrap</t>
        </is>
      </c>
      <c r="G3" s="15" t="inlineStr">
        <is>
          <t>p ajustado</t>
        </is>
      </c>
    </row>
    <row r="4" ht="15" customHeight="1" s="11">
      <c r="A4" s="16" t="inlineStr">
        <is>
          <t>Componentes principais (F)</t>
        </is>
      </c>
      <c r="B4" s="17" t="n">
        <v>0.6263262473017398</v>
      </c>
      <c r="C4" s="18" t="n"/>
      <c r="D4" s="18" t="n"/>
      <c r="E4" s="18" t="n"/>
      <c r="F4" s="17" t="n"/>
      <c r="G4" s="17" t="n"/>
    </row>
    <row r="5" ht="15" customHeight="1" s="11">
      <c r="A5" s="16" t="inlineStr">
        <is>
          <t>Árvores impulsionadas</t>
        </is>
      </c>
      <c r="B5" s="17" t="n">
        <v>0.7486232199110623</v>
      </c>
      <c r="C5" s="18">
        <f>B5-$B$4</f>
        <v/>
      </c>
      <c r="D5" s="18" t="n">
        <v>0.0585261873323647</v>
      </c>
      <c r="E5" s="18" t="n">
        <v>0.1877047383564628</v>
      </c>
      <c r="F5" s="17" t="n">
        <v>0.0005</v>
      </c>
      <c r="G5" s="17">
        <f>MIN(1,F5*6)</f>
        <v/>
      </c>
    </row>
    <row r="6" ht="15" customHeight="1" s="11">
      <c r="A6" s="16" t="inlineStr">
        <is>
          <t>Cobertura de juros</t>
        </is>
      </c>
      <c r="B6" s="17" t="n">
        <v>0.6813926836151728</v>
      </c>
      <c r="C6" s="18">
        <f>B6-$B$4</f>
        <v/>
      </c>
      <c r="D6" s="18" t="n">
        <v>0.0099313294363728</v>
      </c>
      <c r="E6" s="18" t="n">
        <v>0.1038916185717283</v>
      </c>
      <c r="F6" s="17" t="n">
        <v>0.015</v>
      </c>
      <c r="G6" s="17">
        <f>MIN(1,F6*6)</f>
        <v/>
      </c>
    </row>
    <row r="7" ht="15" customHeight="1" s="11">
      <c r="A7" s="16" t="inlineStr">
        <is>
          <t>Mínimos quadrados parciais</t>
        </is>
      </c>
      <c r="B7" s="17" t="n">
        <v>0.723652395444803</v>
      </c>
      <c r="C7" s="18">
        <f>B7-$B$4</f>
        <v/>
      </c>
      <c r="D7" s="18" t="n">
        <v>0.048899444402803</v>
      </c>
      <c r="E7" s="18" t="n">
        <v>0.1454745818961373</v>
      </c>
      <c r="F7" s="17" t="n">
        <v>0.0005</v>
      </c>
      <c r="G7" s="17">
        <f>F7</f>
        <v/>
      </c>
    </row>
    <row r="8" ht="15" customHeight="1" s="11">
      <c r="A8" s="16" t="inlineStr">
        <is>
          <t>Retorno sobre ativos</t>
        </is>
      </c>
      <c r="B8" s="17" t="n">
        <v>0.7308909788486915</v>
      </c>
      <c r="C8" s="18">
        <f>B8-$B$4</f>
        <v/>
      </c>
      <c r="D8" s="18" t="n">
        <v>0.0614331309447581</v>
      </c>
      <c r="E8" s="18" t="n">
        <v>0.1491328003599791</v>
      </c>
      <c r="F8" s="17" t="n">
        <v>0.0005</v>
      </c>
      <c r="G8" s="17">
        <f>MIN(1,F8*6)</f>
        <v/>
      </c>
    </row>
    <row r="9" ht="15" customHeight="1" s="11">
      <c r="A9" s="16" t="inlineStr">
        <is>
          <t>Brito e Assaf Neto</t>
        </is>
      </c>
      <c r="B9" s="17" t="n">
        <v>0.6683218538096001</v>
      </c>
      <c r="C9" s="18">
        <f>B9-$B$4</f>
        <v/>
      </c>
      <c r="D9" s="18" t="n">
        <v>-0.009500345591101101</v>
      </c>
      <c r="E9" s="18" t="n">
        <v>0.0913970209993212</v>
      </c>
      <c r="F9" s="17" t="n">
        <v>0.114</v>
      </c>
      <c r="G9" s="17">
        <f>MIN(1,F9*6)</f>
        <v/>
      </c>
    </row>
    <row r="10" ht="15" customHeight="1" s="11">
      <c r="A10" s="16" t="inlineStr">
        <is>
          <t>Liquidez corrente</t>
        </is>
      </c>
      <c r="B10" s="17" t="n">
        <v>0.5681544281976766</v>
      </c>
      <c r="C10" s="18">
        <f>B10-$B$4</f>
        <v/>
      </c>
      <c r="D10" s="18" t="n">
        <v>-0.0898448854973109</v>
      </c>
      <c r="E10" s="18" t="n">
        <v>-0.0278566423990828</v>
      </c>
      <c r="F10" s="17" t="n">
        <v>0.0005</v>
      </c>
      <c r="G10" s="17">
        <f>MIN(1,F10*6)</f>
        <v/>
      </c>
    </row>
    <row r="11" ht="15" customHeight="1" s="11">
      <c r="A11" s="16" t="inlineStr">
        <is>
          <t>Alavancagem</t>
        </is>
      </c>
      <c r="B11" s="17" t="n">
        <v>0.5049808166098411</v>
      </c>
      <c r="C11" s="18">
        <f>B11-$B$4</f>
        <v/>
      </c>
      <c r="D11" s="18" t="n">
        <v>-0.1706464804453073</v>
      </c>
      <c r="E11" s="18" t="n">
        <v>-0.0752561959904862</v>
      </c>
      <c r="F11" s="17" t="n">
        <v>0.0005</v>
      </c>
      <c r="G11" s="17">
        <f>MIN(1,F11*6)</f>
        <v/>
      </c>
    </row>
    <row r="12">
      <c r="A12" t="inlineStr">
        <is>
          <t>Fonte: 01 e 02. Validação cruzada agrupada por firma, atribuição de referência. Diferença por fórmula. p ajustado por Bonferroni para as seis comparações contra benchmarks e referência não linear; a comparação com mínimos quadrados parciais responde a H4 e não é ajustada.</t>
        </is>
      </c>
    </row>
    <row r="13" ht="15" customHeight="1" s="11">
      <c r="A13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6"/>
  </cols>
  <sheetData>
    <row r="1" ht="15" customHeight="1" s="11">
      <c r="A1" s="14" t="inlineStr">
        <is>
          <t>Tabela 11 – Desempenho sob o esquema temporal</t>
        </is>
      </c>
    </row>
    <row r="3" ht="30" customHeight="1" s="11">
      <c r="A3" s="15" t="inlineStr">
        <is>
          <t>Modelo</t>
        </is>
      </c>
      <c r="B3" s="15" t="inlineStr">
        <is>
          <t>AUC um ano</t>
        </is>
      </c>
      <c r="C3" s="15" t="inlineStr">
        <is>
          <t>Diferença</t>
        </is>
      </c>
      <c r="D3" s="15" t="inlineStr">
        <is>
          <t>IC 95% inferior</t>
        </is>
      </c>
      <c r="E3" s="15" t="inlineStr">
        <is>
          <t>IC 95% superior</t>
        </is>
      </c>
      <c r="F3" s="15" t="inlineStr">
        <is>
          <t>AUC dois anos</t>
        </is>
      </c>
    </row>
    <row r="4" ht="15" customHeight="1" s="11">
      <c r="A4" s="16" t="inlineStr">
        <is>
          <t>Componentes principais (F)</t>
        </is>
      </c>
      <c r="B4" s="17" t="n">
        <v>0.744479405034325</v>
      </c>
      <c r="C4" s="18" t="n"/>
      <c r="D4" s="18" t="n"/>
      <c r="E4" s="18" t="n"/>
      <c r="F4" s="17" t="n">
        <v>0.6812824051624454</v>
      </c>
    </row>
    <row r="5" ht="15" customHeight="1" s="11">
      <c r="A5" s="16" t="inlineStr">
        <is>
          <t>Árvores impulsionadas</t>
        </is>
      </c>
      <c r="B5" s="17" t="n">
        <v>0.9129290617848971</v>
      </c>
      <c r="C5" s="18">
        <f>B5-$B$4</f>
        <v/>
      </c>
      <c r="D5" s="18" t="n">
        <v>0.08221295117877488</v>
      </c>
      <c r="E5" s="18" t="n">
        <v>0.269027063788093</v>
      </c>
      <c r="F5" s="17" t="n">
        <v>0.708139057779104</v>
      </c>
    </row>
    <row r="6" ht="15" customHeight="1" s="11">
      <c r="A6" s="16" t="inlineStr">
        <is>
          <t>Retorno sobre ativos</t>
        </is>
      </c>
      <c r="B6" s="17" t="n">
        <v>0.9046481693363845</v>
      </c>
      <c r="C6" s="18">
        <f>B6-$B$4</f>
        <v/>
      </c>
      <c r="D6" s="18" t="n">
        <v>0.07139672690305819</v>
      </c>
      <c r="E6" s="18" t="n">
        <v>0.2624006045581693</v>
      </c>
      <c r="F6" s="17" t="n">
        <v>0.7277966354582416</v>
      </c>
    </row>
    <row r="7" ht="15" customHeight="1" s="11">
      <c r="A7" s="16" t="inlineStr">
        <is>
          <t>Mínimos quadrados parciais</t>
        </is>
      </c>
      <c r="B7" s="17" t="n">
        <v>0.900729405034325</v>
      </c>
      <c r="C7" s="18">
        <f>B7-$B$4</f>
        <v/>
      </c>
      <c r="D7" s="18" t="n">
        <v>0.06739960105840408</v>
      </c>
      <c r="E7" s="18" t="n">
        <v>0.2600384641319204</v>
      </c>
      <c r="F7" s="17" t="n">
        <v>0.6902532731545377</v>
      </c>
    </row>
    <row r="8" ht="15" customHeight="1" s="11">
      <c r="A8" s="16" t="inlineStr">
        <is>
          <t>Cobertura de juros</t>
        </is>
      </c>
      <c r="B8" s="17" t="n">
        <v>0.8920051487414188</v>
      </c>
      <c r="C8" s="18">
        <f>B8-$B$4</f>
        <v/>
      </c>
      <c r="D8" s="18" t="n">
        <v>0.05092867025429097</v>
      </c>
      <c r="E8" s="18" t="n">
        <v>0.2555133972754777</v>
      </c>
      <c r="F8" s="17" t="n">
        <v>0.722471931067925</v>
      </c>
    </row>
    <row r="9" ht="15" customHeight="1" s="11">
      <c r="A9" s="16" t="inlineStr">
        <is>
          <t>Brito e Assaf Neto</t>
        </is>
      </c>
      <c r="B9" s="17" t="n">
        <v>0.7885869565217392</v>
      </c>
      <c r="C9" s="18">
        <f>B9-$B$4</f>
        <v/>
      </c>
      <c r="D9" s="18" t="n"/>
      <c r="E9" s="18" t="n"/>
      <c r="F9" s="17" t="n">
        <v>0.6876049087992838</v>
      </c>
    </row>
    <row r="11" ht="15" customHeight="1" s="11">
      <c r="A11" s="19" t="inlineStr">
        <is>
          <t>Fonte: 10. Treino com desfechos até 2021 (109 entradas); teste de 2022 a 2025 (40 entradas em um ano, 34 em dois).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7"/>
  </cols>
  <sheetData>
    <row r="1" ht="15" customHeight="1" s="11">
      <c r="A1" s="14" t="inlineStr">
        <is>
          <t>Tabela 13 – Desempenho fora da amostra por tipo de entrada</t>
        </is>
      </c>
    </row>
    <row r="3" ht="30" customHeight="1" s="11">
      <c r="A3" s="15" t="inlineStr">
        <is>
          <t>Tipo de entrada</t>
        </is>
      </c>
      <c r="B3" s="15" t="inlineStr">
        <is>
          <t>Entradas</t>
        </is>
      </c>
      <c r="C3" s="15" t="inlineStr">
        <is>
          <t>Escore F</t>
        </is>
      </c>
      <c r="D3" s="15" t="inlineStr">
        <is>
          <t>Árvores</t>
        </is>
      </c>
      <c r="E3" s="15" t="inlineStr">
        <is>
          <t>Cobertura</t>
        </is>
      </c>
      <c r="F3" s="15" t="inlineStr">
        <is>
          <t>PLS</t>
        </is>
      </c>
      <c r="G3" s="15" t="inlineStr">
        <is>
          <t>ROA</t>
        </is>
      </c>
      <c r="H3" s="12" t="inlineStr">
        <is>
          <t>MEB</t>
        </is>
      </c>
    </row>
    <row r="4" ht="15" customHeight="1" s="11">
      <c r="A4" s="16" t="inlineStr">
        <is>
          <t>Um ano</t>
        </is>
      </c>
      <c r="B4" s="20" t="n"/>
      <c r="C4" s="17" t="n"/>
      <c r="D4" s="17" t="n"/>
      <c r="E4" s="17" t="n"/>
      <c r="F4" s="17" t="n"/>
      <c r="G4" s="17" t="n"/>
    </row>
    <row r="5" ht="15" customHeight="1" s="11">
      <c r="A5" s="16" t="inlineStr">
        <is>
          <t>Somente por EBITDA negativo</t>
        </is>
      </c>
      <c r="B5" s="20" t="n">
        <v>66</v>
      </c>
      <c r="C5" s="17" t="n">
        <v>0.6436911049942966</v>
      </c>
      <c r="D5" s="17" t="n">
        <v>0.9695170299558598</v>
      </c>
      <c r="E5" s="17" t="n">
        <v>0.9734863983534195</v>
      </c>
      <c r="F5" s="17" t="n">
        <v>0.9388071591529037</v>
      </c>
      <c r="G5" s="17" t="n">
        <v>0.9120697564846501</v>
      </c>
      <c r="H5" t="n">
        <v>0.9783994817239497</v>
      </c>
    </row>
    <row r="6" ht="15" customHeight="1" s="11">
      <c r="A6" s="16" t="inlineStr">
        <is>
          <t>Patrimônio líquido negativo</t>
        </is>
      </c>
      <c r="B6" s="20" t="n">
        <v>70</v>
      </c>
      <c r="C6" s="17" t="n">
        <v>0.8577890460603227</v>
      </c>
      <c r="D6" s="17" t="n">
        <v>0.8361117605798457</v>
      </c>
      <c r="E6" s="17" t="n">
        <v>0.8255830605564649</v>
      </c>
      <c r="F6" s="17" t="n">
        <v>0.8065492751928923</v>
      </c>
      <c r="G6" s="17" t="n">
        <v>0.8335574000467616</v>
      </c>
      <c r="H6" t="n">
        <v>0.6895063712882862</v>
      </c>
    </row>
    <row r="7" ht="15" customHeight="1" s="11">
      <c r="A7" s="16" t="inlineStr">
        <is>
          <t>Recuperação judicial</t>
        </is>
      </c>
      <c r="B7" s="20" t="n">
        <v>20</v>
      </c>
      <c r="C7" s="17" t="n">
        <v>0.8873782733224223</v>
      </c>
      <c r="D7" s="17" t="n">
        <v>0.8882815057283142</v>
      </c>
      <c r="E7" s="17" t="n">
        <v>0.8703508592471358</v>
      </c>
      <c r="F7" s="17" t="n">
        <v>0.9228662029459903</v>
      </c>
      <c r="G7" s="17" t="n">
        <v>0.9179930441898527</v>
      </c>
      <c r="H7" t="n">
        <v>0.7798895253682488</v>
      </c>
    </row>
    <row r="8" ht="15" customHeight="1" s="11">
      <c r="A8" s="16" t="inlineStr">
        <is>
          <t>Todas as entradas</t>
        </is>
      </c>
      <c r="B8" s="20" t="n">
        <v>149</v>
      </c>
      <c r="C8" s="17" t="n">
        <v>0.7622047968453081</v>
      </c>
      <c r="D8" s="17" t="n">
        <v>0.897368366853766</v>
      </c>
      <c r="E8" s="17" t="n">
        <v>0.8941765342325816</v>
      </c>
      <c r="F8" s="17" t="n">
        <v>0.8741787860147848</v>
      </c>
      <c r="G8" s="17" t="n">
        <v>0.8742146223047266</v>
      </c>
      <c r="H8" t="n">
        <v>0.8244365052340206</v>
      </c>
    </row>
    <row r="9" ht="15" customHeight="1" s="11">
      <c r="A9" s="16" t="inlineStr">
        <is>
          <t>Dois anos</t>
        </is>
      </c>
      <c r="B9" s="20" t="n"/>
      <c r="C9" s="17" t="n"/>
      <c r="D9" s="17" t="n"/>
      <c r="E9" s="17" t="n"/>
      <c r="F9" s="17" t="n"/>
      <c r="G9" s="17" t="n"/>
    </row>
    <row r="10" ht="15" customHeight="1" s="11">
      <c r="A10" s="16" t="inlineStr">
        <is>
          <t>Somente por EBITDA negativo</t>
        </is>
      </c>
      <c r="B10" s="20" t="n">
        <v>52</v>
      </c>
      <c r="C10" s="17" t="n">
        <v>0.377115754260156</v>
      </c>
      <c r="D10" s="17" t="n">
        <v>0.7201107548146231</v>
      </c>
      <c r="E10" s="17" t="n">
        <v>0.5221186190071342</v>
      </c>
      <c r="F10" s="17" t="n">
        <v>0.6499362362769378</v>
      </c>
      <c r="G10" s="17" t="n">
        <v>0.595169666950061</v>
      </c>
      <c r="H10" t="n">
        <v>0.6186259379736072</v>
      </c>
    </row>
    <row r="11" ht="15" customHeight="1" s="11">
      <c r="A11" s="16" t="inlineStr">
        <is>
          <t>Patrimônio líquido negativo</t>
        </is>
      </c>
      <c r="B11" s="20" t="n">
        <v>63</v>
      </c>
      <c r="C11" s="17" t="n">
        <v>0.8063644615302472</v>
      </c>
      <c r="D11" s="17" t="n">
        <v>0.7695239620756199</v>
      </c>
      <c r="E11" s="17" t="n">
        <v>0.8019362638536112</v>
      </c>
      <c r="F11" s="17" t="n">
        <v>0.7654020121583793</v>
      </c>
      <c r="G11" s="17" t="n">
        <v>0.8294585173489546</v>
      </c>
      <c r="H11" t="n">
        <v>0.6782472559743102</v>
      </c>
    </row>
    <row r="12" ht="15" customHeight="1" s="11">
      <c r="A12" s="16" t="inlineStr">
        <is>
          <t>Recuperação judicial</t>
        </is>
      </c>
      <c r="B12" s="20" t="n">
        <v>17</v>
      </c>
      <c r="C12" s="17" t="n">
        <v>0.8060166209684259</v>
      </c>
      <c r="D12" s="17" t="n">
        <v>0.8458659581083754</v>
      </c>
      <c r="E12" s="17" t="n">
        <v>0.7666280351640895</v>
      </c>
      <c r="F12" s="17" t="n">
        <v>0.8596460977471239</v>
      </c>
      <c r="G12" s="17" t="n">
        <v>0.8262147723096926</v>
      </c>
      <c r="H12" t="n">
        <v>0.7247081437091897</v>
      </c>
    </row>
    <row r="13" ht="15" customHeight="1" s="11">
      <c r="A13" s="16" t="inlineStr">
        <is>
          <t>Todas as entradas</t>
        </is>
      </c>
      <c r="B13" s="20" t="n">
        <v>126</v>
      </c>
      <c r="C13" s="17" t="n">
        <v>0.6265344805229475</v>
      </c>
      <c r="D13" s="17" t="n">
        <v>0.7543851971350769</v>
      </c>
      <c r="E13" s="17" t="n">
        <v>0.6813926836151729</v>
      </c>
      <c r="F13" s="17" t="n">
        <v>0.7270260787319894</v>
      </c>
      <c r="G13" s="17" t="n">
        <v>0.7308909788486915</v>
      </c>
      <c r="H13" t="n">
        <v>0.6541116526700381</v>
      </c>
    </row>
    <row r="15" ht="15" customHeight="1" s="11">
      <c r="A15" s="19" t="inlineStr">
        <is>
          <t>Fonte: 09. Médias sobre dez atribuições. Em cada linha, os não eventos são todos os da amostra e os eventos apenas os do tipo indicado. MEB: margem EBITDA isolada, cuja condição define o critério de prejuízo operacional.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5"/>
  </cols>
  <sheetData>
    <row r="1" ht="15" customHeight="1" s="11">
      <c r="A1" s="14" t="inlineStr">
        <is>
          <t>Tabela 16 – Poder discriminante, peso e natureza da variação</t>
        </is>
      </c>
    </row>
    <row r="3" ht="30" customHeight="1" s="11">
      <c r="A3" s="15" t="inlineStr">
        <is>
          <t>Indicador</t>
        </is>
      </c>
      <c r="B3" s="15" t="inlineStr">
        <is>
          <t>KS</t>
        </is>
      </c>
      <c r="C3" s="15" t="inlineStr">
        <is>
          <t>Carga CP1</t>
        </is>
      </c>
      <c r="D3" s="15" t="inlineStr">
        <is>
          <t>Peso PLS</t>
        </is>
      </c>
      <c r="E3" s="15" t="inlineStr">
        <is>
          <t>Variância entre firmas</t>
        </is>
      </c>
    </row>
    <row r="4" ht="15" customHeight="1" s="11">
      <c r="A4" s="16" t="inlineStr">
        <is>
          <t>ROA</t>
        </is>
      </c>
      <c r="B4" s="21" t="n">
        <v>0.780783062873292</v>
      </c>
      <c r="C4" s="21" t="n">
        <v>0.48627472863789</v>
      </c>
      <c r="D4" s="21" t="n">
        <v>0.889077026811682</v>
      </c>
      <c r="E4" s="22" t="n">
        <v>0.452236234964863</v>
      </c>
    </row>
    <row r="5" ht="15" customHeight="1" s="11">
      <c r="A5" s="16" t="inlineStr">
        <is>
          <t>COB</t>
        </is>
      </c>
      <c r="B5" s="21" t="n">
        <v>0.774695135092589</v>
      </c>
      <c r="C5" s="21" t="n">
        <v>0.238113071125549</v>
      </c>
      <c r="D5" s="21" t="n">
        <v>0.168890555847401</v>
      </c>
      <c r="E5" s="22" t="n">
        <v>0.366110304900671</v>
      </c>
    </row>
    <row r="6" ht="15" customHeight="1" s="11">
      <c r="A6" s="16" t="inlineStr">
        <is>
          <t>MEB</t>
        </is>
      </c>
      <c r="B6" s="21" t="n">
        <v>0.68833033169227</v>
      </c>
      <c r="C6" s="21" t="n">
        <v>0.226029228081107</v>
      </c>
      <c r="D6" s="21" t="n">
        <v>0.301210882140014</v>
      </c>
      <c r="E6" s="22" t="n">
        <v>0.44151965006269</v>
      </c>
    </row>
    <row r="7" ht="15" customHeight="1" s="11">
      <c r="A7" s="16" t="inlineStr">
        <is>
          <t>CG</t>
        </is>
      </c>
      <c r="B7" s="21" t="n">
        <v>0.350637278695345</v>
      </c>
      <c r="C7" s="21" t="n">
        <v>0.531605179440876</v>
      </c>
      <c r="D7" s="21" t="n">
        <v>0.106855974215405</v>
      </c>
      <c r="E7" s="22" t="n">
        <v>0.608172927280216</v>
      </c>
    </row>
    <row r="8" ht="15" customHeight="1" s="11">
      <c r="A8" s="16" t="inlineStr">
        <is>
          <t>LC</t>
        </is>
      </c>
      <c r="B8" s="21" t="n">
        <v>0.342364181207915</v>
      </c>
      <c r="C8" s="21" t="n">
        <v>0.373227621659178</v>
      </c>
      <c r="D8" s="21" t="n">
        <v>0.195024162423581</v>
      </c>
      <c r="E8" s="22" t="n">
        <v>0.55753687407719</v>
      </c>
    </row>
    <row r="9" ht="15" customHeight="1" s="11">
      <c r="A9" s="16" t="inlineStr">
        <is>
          <t>FCO</t>
        </is>
      </c>
      <c r="B9" s="21" t="n">
        <v>0.323418235110018</v>
      </c>
      <c r="C9" s="21" t="n">
        <v>0.178921799723756</v>
      </c>
      <c r="D9" s="21" t="n">
        <v>0.00650744486255841</v>
      </c>
      <c r="E9" s="22" t="n">
        <v>0.287004851493431</v>
      </c>
    </row>
    <row r="10" ht="15" customHeight="1" s="11">
      <c r="A10" s="16" t="inlineStr">
        <is>
          <t>CP</t>
        </is>
      </c>
      <c r="B10" s="21" t="n">
        <v>0.30599872188187</v>
      </c>
      <c r="C10" s="21" t="n">
        <v>0.17114287593687</v>
      </c>
      <c r="D10" s="21" t="n">
        <v>0.20193913561241</v>
      </c>
      <c r="E10" s="22" t="n">
        <v>0.551880562359334</v>
      </c>
    </row>
    <row r="11" ht="15" customHeight="1" s="11">
      <c r="A11" s="16" t="inlineStr">
        <is>
          <t>ALV</t>
        </is>
      </c>
      <c r="B11" s="21" t="n">
        <v>0.176199453894981</v>
      </c>
      <c r="C11" s="21" t="n">
        <v>0.415384187135599</v>
      </c>
      <c r="D11" s="21" t="n">
        <v>0.00395481183124808</v>
      </c>
      <c r="E11" s="22" t="n">
        <v>0.682760454855237</v>
      </c>
    </row>
    <row r="13" ht="15" customHeight="1" s="11">
      <c r="A13" s="19" t="inlineStr">
        <is>
          <t>Fonte: 11. Estatísticas descritivas estimadas sobre a amostra completa.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8" customWidth="1" style="11" min="2" max="2"/>
  </cols>
  <sheetData>
    <row r="1">
      <c r="A1" s="12" t="inlineStr">
        <is>
          <t>Tabela 17 – Métricas de probabilidade e desempenho operacional</t>
        </is>
      </c>
    </row>
    <row r="3">
      <c r="A3" s="12" t="inlineStr">
        <is>
          <t>Horizonte</t>
        </is>
      </c>
      <c r="B3" s="12" t="inlineStr">
        <is>
          <t>Modelo</t>
        </is>
      </c>
      <c r="C3" s="12" t="inlineStr">
        <is>
          <t>AUC precisão-revocação</t>
        </is>
      </c>
      <c r="D3" s="12" t="inlineStr">
        <is>
          <t>Brier</t>
        </is>
      </c>
      <c r="E3" s="12" t="inlineStr">
        <is>
          <t>Inclinação</t>
        </is>
      </c>
      <c r="F3" s="12" t="inlineStr">
        <is>
          <t>Intercepto</t>
        </is>
      </c>
      <c r="G3" s="12" t="inlineStr">
        <is>
          <t>Sensibilidade</t>
        </is>
      </c>
      <c r="H3" s="12" t="inlineStr">
        <is>
          <t>Especificidade</t>
        </is>
      </c>
      <c r="I3" s="12" t="inlineStr">
        <is>
          <t>VPP</t>
        </is>
      </c>
      <c r="J3" s="12" t="inlineStr">
        <is>
          <t>VPN</t>
        </is>
      </c>
      <c r="K3" s="12" t="inlineStr">
        <is>
          <t>Firma-anos sinalizados</t>
        </is>
      </c>
      <c r="L3" s="12" t="inlineStr">
        <is>
          <t>Decisão líquida 5:1</t>
        </is>
      </c>
      <c r="M3" s="12" t="inlineStr">
        <is>
          <t>Decisão líquida 10:1</t>
        </is>
      </c>
      <c r="N3" s="12" t="inlineStr">
        <is>
          <t>Decisão líquida 20:1</t>
        </is>
      </c>
    </row>
    <row r="4">
      <c r="A4" t="inlineStr">
        <is>
          <t>um ano</t>
        </is>
      </c>
      <c r="B4" t="inlineStr">
        <is>
          <t>Árvores impulsionadas</t>
        </is>
      </c>
      <c r="C4" t="n">
        <v>0.2260938556329331</v>
      </c>
      <c r="D4" t="n">
        <v>0.02509587285767527</v>
      </c>
      <c r="E4" t="n">
        <v>1.061950333880051</v>
      </c>
      <c r="F4" t="n">
        <v>-0.04452900769718918</v>
      </c>
      <c r="G4" t="n">
        <v>0.7986577181208053</v>
      </c>
      <c r="H4" t="n">
        <v>0.8349018003273322</v>
      </c>
      <c r="I4" t="n">
        <v>0.1285097192224622</v>
      </c>
      <c r="J4" t="n">
        <v>0.9927025054731209</v>
      </c>
      <c r="K4" t="n">
        <v>0.1838395870557872</v>
      </c>
      <c r="L4" t="n">
        <v>0.006075044669446099</v>
      </c>
      <c r="M4" t="n">
        <v>0.01081993249950367</v>
      </c>
      <c r="N4" t="n">
        <v>0.01584276354973198</v>
      </c>
    </row>
    <row r="5">
      <c r="A5" t="inlineStr">
        <is>
          <t>um ano</t>
        </is>
      </c>
      <c r="B5" t="inlineStr">
        <is>
          <t>Cobertura de juros</t>
        </is>
      </c>
      <c r="C5" t="n">
        <v>0.1909887477220659</v>
      </c>
      <c r="D5" t="n">
        <v>0.02561521339571764</v>
      </c>
      <c r="E5" t="n">
        <v>0.9910934453263044</v>
      </c>
      <c r="F5" t="n">
        <v>-0.004639606923424779</v>
      </c>
      <c r="G5" t="n">
        <v>0.785234899328859</v>
      </c>
      <c r="H5" t="n">
        <v>0.8316284779050737</v>
      </c>
      <c r="I5" t="n">
        <v>0.124468085106383</v>
      </c>
      <c r="J5" t="n">
        <v>0.9921894068830852</v>
      </c>
      <c r="K5" t="n">
        <v>0.1866190192574946</v>
      </c>
      <c r="L5" t="n">
        <v>0.002898550724637682</v>
      </c>
      <c r="M5" t="n">
        <v>0.009688306531665674</v>
      </c>
      <c r="N5" t="n">
        <v>0.01493944808417709</v>
      </c>
    </row>
    <row r="6">
      <c r="A6" t="inlineStr">
        <is>
          <t>um ano</t>
        </is>
      </c>
      <c r="B6" t="inlineStr">
        <is>
          <t>Retorno sobre ativos</t>
        </is>
      </c>
      <c r="C6" t="n">
        <v>0.1757756231650459</v>
      </c>
      <c r="D6" t="n">
        <v>0.02601064285968114</v>
      </c>
      <c r="E6" t="n">
        <v>1.000281375080055</v>
      </c>
      <c r="F6" t="n">
        <v>-0.005540196552974494</v>
      </c>
      <c r="G6" t="n">
        <v>0.7919463087248322</v>
      </c>
      <c r="H6" t="n">
        <v>0.8432896890343698</v>
      </c>
      <c r="I6" t="n">
        <v>0.1334841628959276</v>
      </c>
      <c r="J6" t="n">
        <v>0.9925355164941007</v>
      </c>
      <c r="K6" t="n">
        <v>0.1755012904506651</v>
      </c>
      <c r="L6" t="n">
        <v>0.002938256898947787</v>
      </c>
      <c r="M6" t="n">
        <v>0.009410363311494935</v>
      </c>
      <c r="N6" t="n">
        <v>0.01549533452451856</v>
      </c>
    </row>
    <row r="7">
      <c r="A7" t="inlineStr">
        <is>
          <t>um ano</t>
        </is>
      </c>
      <c r="B7" t="inlineStr">
        <is>
          <t>Mínimos quadrados parciais</t>
        </is>
      </c>
      <c r="C7" t="n">
        <v>0.177752345432581</v>
      </c>
      <c r="D7" t="n">
        <v>0.0260426240749838</v>
      </c>
      <c r="E7" t="n">
        <v>1.044173588866299</v>
      </c>
      <c r="F7" t="n">
        <v>-0.002184308929572658</v>
      </c>
      <c r="G7" t="n">
        <v>0.8053691275167785</v>
      </c>
      <c r="H7" t="n">
        <v>0.8038052373158756</v>
      </c>
      <c r="I7" t="n">
        <v>0.1112140871177016</v>
      </c>
      <c r="J7" t="n">
        <v>0.9926730672056594</v>
      </c>
      <c r="K7" t="n">
        <v>0.2142148104030177</v>
      </c>
      <c r="L7" t="n">
        <v>0.002541195155846735</v>
      </c>
      <c r="M7" t="n">
        <v>0.008040500297796306</v>
      </c>
      <c r="N7" t="n">
        <v>0.01453245979749851</v>
      </c>
    </row>
    <row r="8">
      <c r="A8" t="inlineStr">
        <is>
          <t>um ano</t>
        </is>
      </c>
      <c r="B8" t="inlineStr">
        <is>
          <t>Componentes principais (F)</t>
        </is>
      </c>
      <c r="C8" t="n">
        <v>0.1111358820093567</v>
      </c>
      <c r="D8" t="n">
        <v>0.02758077382032902</v>
      </c>
      <c r="E8" t="n">
        <v>0.9910986255443853</v>
      </c>
      <c r="F8" t="n">
        <v>-0.00614317333440432</v>
      </c>
      <c r="G8" t="n">
        <v>0.7986577181208053</v>
      </c>
      <c r="H8" t="n">
        <v>0.5683306055646481</v>
      </c>
      <c r="I8" t="n">
        <v>0.05338716913414087</v>
      </c>
      <c r="J8" t="n">
        <v>0.9893162393162394</v>
      </c>
      <c r="K8" t="n">
        <v>0.4425253126861227</v>
      </c>
      <c r="L8" t="n">
        <v>0</v>
      </c>
      <c r="M8" t="n">
        <v>0.00311693468334326</v>
      </c>
      <c r="N8" t="n">
        <v>0.008606313281715306</v>
      </c>
    </row>
    <row r="9">
      <c r="A9" t="inlineStr">
        <is>
          <t>um ano</t>
        </is>
      </c>
      <c r="B9" t="inlineStr">
        <is>
          <t>Brito e Assaf Neto</t>
        </is>
      </c>
      <c r="C9" t="n">
        <v>0.0964939401633446</v>
      </c>
      <c r="D9" t="n">
        <v>0.02779353938686501</v>
      </c>
      <c r="E9" t="n">
        <v>1.097043873635803</v>
      </c>
      <c r="F9" t="n">
        <v>0.02030759801655716</v>
      </c>
      <c r="G9" t="n">
        <v>0.8187919463087249</v>
      </c>
      <c r="H9" t="n">
        <v>0.478518821603928</v>
      </c>
      <c r="I9" t="n">
        <v>0.04567577686259828</v>
      </c>
      <c r="J9" t="n">
        <v>0.9885883347421809</v>
      </c>
      <c r="K9" t="n">
        <v>0.5302759579114552</v>
      </c>
      <c r="L9" t="n">
        <v>0</v>
      </c>
      <c r="M9" t="n">
        <v>0.001111772880682946</v>
      </c>
      <c r="N9" t="n">
        <v>0.009797498511018464</v>
      </c>
    </row>
    <row r="10">
      <c r="A10" t="inlineStr">
        <is>
          <t>um ano</t>
        </is>
      </c>
      <c r="B10" t="inlineStr">
        <is>
          <t>Referência sem informação</t>
        </is>
      </c>
      <c r="C10" t="n">
        <v>0.02958109986102839</v>
      </c>
      <c r="D10" t="n">
        <v>0.02870605839204026</v>
      </c>
    </row>
    <row r="11">
      <c r="A11" t="inlineStr">
        <is>
          <t>dois anos</t>
        </is>
      </c>
      <c r="B11" t="inlineStr">
        <is>
          <t>Árvores impulsionadas</t>
        </is>
      </c>
      <c r="C11" t="n">
        <v>0.0834551039518848</v>
      </c>
      <c r="D11" t="n">
        <v>0.02771763624468854</v>
      </c>
      <c r="E11" t="n">
        <v>1.126749284542437</v>
      </c>
      <c r="F11" t="n">
        <v>-0.06861016047518335</v>
      </c>
      <c r="G11" t="n">
        <v>0.8412698412698413</v>
      </c>
      <c r="H11" t="n">
        <v>0.4812590100913023</v>
      </c>
      <c r="I11" t="n">
        <v>0.0467991169977925</v>
      </c>
      <c r="J11" t="n">
        <v>0.9901136925358379</v>
      </c>
      <c r="K11" t="n">
        <v>0.5282182835820896</v>
      </c>
      <c r="L11" t="n">
        <v>0</v>
      </c>
      <c r="M11" t="n">
        <v>0.0001632462686567163</v>
      </c>
      <c r="N11" t="n">
        <v>0.006879664179104478</v>
      </c>
    </row>
    <row r="12">
      <c r="A12" t="inlineStr">
        <is>
          <t>dois anos</t>
        </is>
      </c>
      <c r="B12" t="inlineStr">
        <is>
          <t>Cobertura de juros</t>
        </is>
      </c>
      <c r="C12" t="n">
        <v>0.05080242202151385</v>
      </c>
      <c r="D12" t="n">
        <v>0.02819394089268755</v>
      </c>
      <c r="E12" t="n">
        <v>0.9492716860715495</v>
      </c>
      <c r="F12" t="n">
        <v>-0.004547980005142629</v>
      </c>
      <c r="G12" t="n">
        <v>0.8015873015873016</v>
      </c>
      <c r="H12" t="n">
        <v>0.4514656415185007</v>
      </c>
      <c r="I12" t="n">
        <v>0.04236577181208054</v>
      </c>
      <c r="J12" t="n">
        <v>0.9868697478991597</v>
      </c>
      <c r="K12" t="n">
        <v>0.5559701492537313</v>
      </c>
      <c r="L12" t="n">
        <v>0</v>
      </c>
      <c r="M12" t="n">
        <v>0</v>
      </c>
      <c r="N12" t="n">
        <v>0.003404850746268657</v>
      </c>
    </row>
    <row r="13">
      <c r="A13" t="inlineStr">
        <is>
          <t>dois anos</t>
        </is>
      </c>
      <c r="B13" t="inlineStr">
        <is>
          <t>Retorno sobre ativos</t>
        </is>
      </c>
      <c r="C13" t="n">
        <v>0.06629201704736558</v>
      </c>
      <c r="D13" t="n">
        <v>0.02791688164067146</v>
      </c>
      <c r="E13" t="n">
        <v>0.975656516732223</v>
      </c>
      <c r="F13" t="n">
        <v>-0.00212486915810384</v>
      </c>
      <c r="G13" t="n">
        <v>0.8015873015873016</v>
      </c>
      <c r="H13" t="n">
        <v>0.5888995675156175</v>
      </c>
      <c r="I13" t="n">
        <v>0.05573951434878587</v>
      </c>
      <c r="J13" t="n">
        <v>0.9899030694668821</v>
      </c>
      <c r="K13" t="n">
        <v>0.4225746268656717</v>
      </c>
      <c r="L13" t="n">
        <v>0</v>
      </c>
      <c r="M13" t="n">
        <v>-0.0006529850746268656</v>
      </c>
      <c r="N13" t="n">
        <v>0.004407649253731343</v>
      </c>
    </row>
    <row r="14">
      <c r="A14" t="inlineStr">
        <is>
          <t>dois anos</t>
        </is>
      </c>
      <c r="B14" t="inlineStr">
        <is>
          <t>Mínimos quadrados parciais</t>
        </is>
      </c>
      <c r="C14" t="n">
        <v>0.0645729000927288</v>
      </c>
      <c r="D14" t="n">
        <v>0.02792098909106</v>
      </c>
      <c r="E14" t="n">
        <v>1.026583957358763</v>
      </c>
      <c r="F14" t="n">
        <v>-0.01449830602781368</v>
      </c>
      <c r="G14" t="n">
        <v>0.7936507936507936</v>
      </c>
      <c r="H14" t="n">
        <v>0.5321960595867371</v>
      </c>
      <c r="I14" t="n">
        <v>0.04885197850512946</v>
      </c>
      <c r="J14" t="n">
        <v>0.9883980365908077</v>
      </c>
      <c r="K14" t="n">
        <v>0.4773787313432836</v>
      </c>
      <c r="L14" t="n">
        <v>0</v>
      </c>
      <c r="M14" t="n">
        <v>-0.0006296641791044776</v>
      </c>
      <c r="N14" t="n">
        <v>0.006553171641791043</v>
      </c>
    </row>
    <row r="15">
      <c r="A15" t="inlineStr">
        <is>
          <t>dois anos</t>
        </is>
      </c>
      <c r="B15" t="inlineStr">
        <is>
          <t>Componentes principais (F)</t>
        </is>
      </c>
      <c r="C15" t="n">
        <v>0.05389450429240197</v>
      </c>
      <c r="D15" t="n">
        <v>0.0283328505785215</v>
      </c>
      <c r="E15" t="n">
        <v>0.9144827459128204</v>
      </c>
      <c r="F15" t="n">
        <v>-0.001971924974016033</v>
      </c>
      <c r="G15" t="n">
        <v>0.7936507936507936</v>
      </c>
      <c r="H15" t="n">
        <v>0.2854396924555502</v>
      </c>
      <c r="I15" t="n">
        <v>0.03253090435914118</v>
      </c>
      <c r="J15" t="n">
        <v>0.9785831960461285</v>
      </c>
      <c r="K15" t="n">
        <v>0.7168843283582089</v>
      </c>
      <c r="L15" t="n">
        <v>0</v>
      </c>
      <c r="M15" t="n">
        <v>0</v>
      </c>
      <c r="N15" t="n">
        <v>0.003696361940298507</v>
      </c>
    </row>
    <row r="16">
      <c r="A16" t="inlineStr">
        <is>
          <t>dois anos</t>
        </is>
      </c>
      <c r="B16" t="inlineStr">
        <is>
          <t>Brito e Assaf Neto</t>
        </is>
      </c>
      <c r="C16" t="n">
        <v>0.07288011479741094</v>
      </c>
      <c r="D16" t="n">
        <v>0.02813427461858303</v>
      </c>
      <c r="E16" t="n">
        <v>1.109318674513565</v>
      </c>
      <c r="F16" t="n">
        <v>-0.0114528663555734</v>
      </c>
      <c r="G16" t="n">
        <v>0.8253968253968254</v>
      </c>
      <c r="H16" t="n">
        <v>0.3087457952907256</v>
      </c>
      <c r="I16" t="n">
        <v>0.03488762160348876</v>
      </c>
      <c r="J16" t="n">
        <v>0.9831675592960979</v>
      </c>
      <c r="K16" t="n">
        <v>0.695195895522388</v>
      </c>
      <c r="L16" t="n">
        <v>0</v>
      </c>
      <c r="M16" t="n">
        <v>0</v>
      </c>
      <c r="N16" t="n">
        <v>0.004967350746268656</v>
      </c>
    </row>
    <row r="17">
      <c r="A17" t="inlineStr">
        <is>
          <t>dois anos</t>
        </is>
      </c>
      <c r="B17" t="inlineStr">
        <is>
          <t>Referência sem informação</t>
        </is>
      </c>
      <c r="C17" t="n">
        <v>0.02938432835820896</v>
      </c>
      <c r="D17" t="n">
        <v>0.02852088960514591</v>
      </c>
    </row>
    <row r="19">
      <c r="A19" t="inlineStr">
        <is>
          <t>Fonte: 14. Calibração logística sobre o posto do escore na distribuição do treino; limiar que atinge sensibilidade de 80% nas firmas de treino, aplicado às de teste. Decisão líquida por firma-ano; a de não sinalizar ninguém é zero.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7"/>
  </cols>
  <sheetData>
    <row r="1" ht="15" customHeight="1" s="11">
      <c r="A1" s="14" t="inlineStr">
        <is>
          <t>Tabela 18 – Definições alternativas do evento</t>
        </is>
      </c>
    </row>
    <row r="3" ht="30" customHeight="1" s="11">
      <c r="A3" s="15" t="inlineStr">
        <is>
          <t>Definição</t>
        </is>
      </c>
      <c r="B3" s="15" t="inlineStr">
        <is>
          <t>Obs.</t>
        </is>
      </c>
      <c r="C3" s="15" t="inlineStr">
        <is>
          <t>Entradas</t>
        </is>
      </c>
      <c r="D3" s="15" t="inlineStr">
        <is>
          <t>Escore F</t>
        </is>
      </c>
      <c r="E3" s="15" t="inlineStr">
        <is>
          <t>Árvores</t>
        </is>
      </c>
      <c r="F3" s="15" t="inlineStr">
        <is>
          <t>Cobertura</t>
        </is>
      </c>
      <c r="G3" s="15" t="inlineStr">
        <is>
          <t>PLS</t>
        </is>
      </c>
    </row>
    <row r="4" ht="15" customHeight="1" s="11">
      <c r="A4" s="16" t="inlineStr">
        <is>
          <t>Definição principal</t>
        </is>
      </c>
      <c r="B4" s="23" t="n">
        <v>5037</v>
      </c>
      <c r="C4" s="20" t="n">
        <v>149</v>
      </c>
      <c r="D4" s="17" t="n">
        <v>0.7622047968453081</v>
      </c>
      <c r="E4" s="17" t="n">
        <v>0.897368366853766</v>
      </c>
      <c r="F4" s="17" t="n">
        <v>0.8941765342325816</v>
      </c>
      <c r="G4" s="17" t="n">
        <v>0.8741787860147848</v>
      </c>
    </row>
    <row r="5" ht="15" customHeight="1" s="11">
      <c r="A5" s="16" t="inlineStr">
        <is>
          <t>Sem as entradas exclusivas do critério de EBITDA</t>
        </is>
      </c>
      <c r="B5" s="23" t="n">
        <v>4971</v>
      </c>
      <c r="C5" s="20" t="n">
        <v>83</v>
      </c>
      <c r="D5" s="17" t="n">
        <v>0.8564446000039438</v>
      </c>
      <c r="E5" s="17" t="n">
        <v>0.856293627866622</v>
      </c>
      <c r="F5" s="17" t="n">
        <v>0.8311108591485418</v>
      </c>
      <c r="G5" s="17" t="n">
        <v>0.8573874055961982</v>
      </c>
    </row>
    <row r="6" ht="15" customHeight="1" s="11">
      <c r="A6" s="16" t="inlineStr">
        <is>
          <t>Restritiva: PL negativo ou recuperação judicial</t>
        </is>
      </c>
      <c r="B6" s="23" t="n">
        <v>5566</v>
      </c>
      <c r="C6" s="20" t="n">
        <v>81</v>
      </c>
      <c r="D6" s="17" t="n">
        <v>0.8888249659565369</v>
      </c>
      <c r="E6" s="17" t="n">
        <v>0.9544558110222041</v>
      </c>
      <c r="F6" s="17" t="n">
        <v>0.900481672800117</v>
      </c>
      <c r="G6" s="17" t="n">
        <v>0.9327708565447855</v>
      </c>
    </row>
    <row r="8" ht="15" customHeight="1" s="11">
      <c r="A8" s="19" t="inlineStr">
        <is>
          <t>Fonte: 08. Médias sobre dez atribuições, horizonte de um ano.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8"/>
  </cols>
  <sheetData>
    <row r="1" ht="15" customHeight="1" s="11">
      <c r="A1" s="14" t="inlineStr">
        <is>
          <t>Tabela 19 – Sensibilidade das conclusões principais</t>
        </is>
      </c>
    </row>
    <row r="3" ht="30" customHeight="1" s="11">
      <c r="A3" s="15" t="inlineStr">
        <is>
          <t>Especificação</t>
        </is>
      </c>
      <c r="B3" s="15" t="inlineStr">
        <is>
          <t>Obs.</t>
        </is>
      </c>
      <c r="C3" s="15" t="inlineStr">
        <is>
          <t>Entradas</t>
        </is>
      </c>
      <c r="D3" s="15" t="inlineStr">
        <is>
          <t>Escore F</t>
        </is>
      </c>
      <c r="E3" s="15" t="inlineStr">
        <is>
          <t>PLS</t>
        </is>
      </c>
      <c r="F3" s="15" t="inlineStr">
        <is>
          <t>Cobertura</t>
        </is>
      </c>
      <c r="G3" s="15" t="inlineStr">
        <is>
          <t>ROA</t>
        </is>
      </c>
      <c r="H3" s="15" t="inlineStr">
        <is>
          <t>PLS menos F</t>
        </is>
      </c>
    </row>
    <row r="4" ht="15" customHeight="1" s="11">
      <c r="A4" s="16" t="inlineStr">
        <is>
          <t>Especificação principal</t>
        </is>
      </c>
      <c r="B4" s="23" t="n">
        <v>5037</v>
      </c>
      <c r="C4" s="20" t="n">
        <v>149</v>
      </c>
      <c r="D4" s="17" t="n">
        <v>0.76321274398884</v>
      </c>
      <c r="E4" s="17" t="n">
        <v>0.8767190434868573</v>
      </c>
      <c r="F4" s="17" t="n">
        <v>0.8941765342325816</v>
      </c>
      <c r="G4" s="17" t="n">
        <v>0.8742146223047266</v>
      </c>
      <c r="H4" s="18">
        <f>E4-D4</f>
        <v/>
      </c>
    </row>
    <row r="5" ht="15" customHeight="1" s="11">
      <c r="A5" s="16" t="inlineStr">
        <is>
          <t>Excluídas as entradas exclusivamente por recuperação judicial</t>
        </is>
      </c>
      <c r="B5" s="23" t="n">
        <v>5026</v>
      </c>
      <c r="C5" s="20" t="n">
        <v>138</v>
      </c>
      <c r="D5" s="17" t="n">
        <v>0.758067672383121</v>
      </c>
      <c r="E5" s="17" t="n">
        <v>0.8766173889323751</v>
      </c>
      <c r="F5" s="17" t="n">
        <v>0.8985062501482483</v>
      </c>
      <c r="G5" s="17" t="n">
        <v>0.8733499964420408</v>
      </c>
      <c r="H5" s="18">
        <f>E5-D5</f>
        <v/>
      </c>
    </row>
    <row r="6" ht="15" customHeight="1" s="11">
      <c r="A6" s="16" t="inlineStr">
        <is>
          <t>Somente a primeira entrada de cada firma</t>
        </is>
      </c>
      <c r="B6" s="23" t="n">
        <v>4620</v>
      </c>
      <c r="C6" s="20" t="n">
        <v>130</v>
      </c>
      <c r="D6" s="17" t="n">
        <v>0.7882730854891211</v>
      </c>
      <c r="E6" s="17" t="n">
        <v>0.8945057392496145</v>
      </c>
      <c r="F6" s="17" t="n">
        <v>0.9070806921363714</v>
      </c>
      <c r="G6" s="17" t="n">
        <v>0.887205756381703</v>
      </c>
      <c r="H6" s="18">
        <f>E6-D6</f>
        <v/>
      </c>
    </row>
    <row r="7" ht="15" customHeight="1" s="11">
      <c r="A7" s="16" t="inlineStr">
        <is>
          <t>Saídas associadas a distress tratadas como evento</t>
        </is>
      </c>
      <c r="B7" s="23" t="n">
        <v>5046</v>
      </c>
      <c r="C7" s="20" t="n">
        <v>158</v>
      </c>
      <c r="D7" s="17" t="n">
        <v>0.7695272845925957</v>
      </c>
      <c r="E7" s="17" t="n">
        <v>0.879915162941018</v>
      </c>
      <c r="F7" s="17" t="n">
        <v>0.8967161894797904</v>
      </c>
      <c r="G7" s="17" t="n">
        <v>0.8768554869585033</v>
      </c>
      <c r="H7" s="18">
        <f>E7-D7</f>
        <v/>
      </c>
    </row>
    <row r="8" ht="15" customHeight="1" s="11">
      <c r="A8" t="inlineStr">
        <is>
          <t>Saídas por dificuldade financeira segundo o cadastro, como evento</t>
        </is>
      </c>
      <c r="B8" t="n">
        <v>5048</v>
      </c>
      <c r="C8" t="n">
        <v>160</v>
      </c>
      <c r="D8" t="n">
        <v>0.7607853416530278</v>
      </c>
      <c r="E8" t="n">
        <v>0.8720335515548282</v>
      </c>
      <c r="F8" t="n">
        <v>0.8890669752454992</v>
      </c>
      <c r="G8" t="n">
        <v>0.871219056873977</v>
      </c>
      <c r="H8">
        <f>E8-D8</f>
        <v/>
      </c>
    </row>
    <row r="9">
      <c r="A9" s="16" t="inlineStr">
        <is>
          <t>Somente firmas com registro ativo ao fim do período</t>
        </is>
      </c>
      <c r="B9" s="23" t="n">
        <v>4193</v>
      </c>
      <c r="C9" s="20" t="n">
        <v>104</v>
      </c>
      <c r="D9" s="17" t="n">
        <v>0.743632071034859</v>
      </c>
      <c r="E9" s="17" t="n">
        <v>0.8905764998024719</v>
      </c>
      <c r="F9" s="17" t="n">
        <v>0.9102787497413323</v>
      </c>
      <c r="G9" s="17" t="n">
        <v>0.8926811144345994</v>
      </c>
      <c r="H9" s="18">
        <f>E9-D9</f>
        <v/>
      </c>
    </row>
    <row r="10" ht="15" customHeight="1" s="11"/>
    <row r="11">
      <c r="A11" s="19" t="inlineStr">
        <is>
          <t>Fonte: 04, 05 e 07. Horizonte de um ano, atribuição de referência.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3"/>
  </cols>
  <sheetData>
    <row r="1" ht="15" customHeight="1" s="11">
      <c r="A1" s="14" t="inlineStr">
        <is>
          <t>Tabela 20 – Efeito da inclusão de defasagens e variações</t>
        </is>
      </c>
    </row>
    <row r="3" ht="30" customHeight="1" s="11">
      <c r="A3" s="15" t="inlineStr">
        <is>
          <t>Especificação</t>
        </is>
      </c>
      <c r="B3" s="15" t="inlineStr">
        <is>
          <t>AUC fora da amostra</t>
        </is>
      </c>
      <c r="C3" s="15" t="inlineStr">
        <is>
          <t>Diferença</t>
        </is>
      </c>
    </row>
    <row r="4" ht="15" customHeight="1" s="11">
      <c r="A4" s="16" t="inlineStr">
        <is>
          <t>Escore sintético em nível</t>
        </is>
      </c>
      <c r="B4" s="17" t="n">
        <v>0.761799887960105</v>
      </c>
      <c r="C4" s="18" t="n"/>
    </row>
    <row r="5" ht="15" customHeight="1" s="11">
      <c r="A5" s="16" t="inlineStr">
        <is>
          <t>Escore em nível e defasado</t>
        </is>
      </c>
      <c r="B5" s="17" t="n">
        <v>0.779085062445765</v>
      </c>
      <c r="C5" s="18">
        <f>B5-B4</f>
        <v/>
      </c>
    </row>
    <row r="6" ht="15" customHeight="1" s="11">
      <c r="A6" s="16" t="inlineStr">
        <is>
          <t>Cobertura de juros em nível</t>
        </is>
      </c>
      <c r="B6" s="17" t="n">
        <v>0.8865767692966751</v>
      </c>
      <c r="C6" s="18" t="n"/>
    </row>
    <row r="7" ht="15" customHeight="1" s="11">
      <c r="A7" s="16" t="inlineStr">
        <is>
          <t>Cobertura em nível e defasada</t>
        </is>
      </c>
      <c r="B7" s="17" t="n">
        <v>0.8860742374147343</v>
      </c>
      <c r="C7" s="18">
        <f>B7-B6</f>
        <v/>
      </c>
    </row>
    <row r="8" ht="15" customHeight="1" s="11">
      <c r="A8" s="16" t="inlineStr">
        <is>
          <t>Escore supervisionado, oito níveis</t>
        </is>
      </c>
      <c r="B8" s="17" t="n">
        <v>0.8763579345115829</v>
      </c>
      <c r="C8" s="18" t="n"/>
    </row>
    <row r="9" ht="15" customHeight="1" s="11">
      <c r="A9" s="16" t="inlineStr">
        <is>
          <t>Escore supervisionado, oito níveis e oito variações</t>
        </is>
      </c>
      <c r="B9" s="17" t="n">
        <v>0.853306000724964</v>
      </c>
      <c r="C9" s="18">
        <f>B9-B8</f>
        <v/>
      </c>
    </row>
    <row r="11" ht="15" customHeight="1" s="11">
      <c r="A11" s="19" t="inlineStr">
        <is>
          <t>Fonte: 05. Amostra de 5046 observações e 149 entradas; probit dentro de cada partição.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6"/>
  </cols>
  <sheetData>
    <row r="1" ht="15" customHeight="1" s="11">
      <c r="A1" s="14" t="inlineStr">
        <is>
          <t>Estabilidade entre dez atribuições, horizonte de um ano</t>
        </is>
      </c>
    </row>
    <row r="3" ht="30" customHeight="1" s="11">
      <c r="A3" s="15" t="inlineStr">
        <is>
          <t>Atribuição</t>
        </is>
      </c>
      <c r="B3" s="15" t="inlineStr">
        <is>
          <t>PCA (F)</t>
        </is>
      </c>
      <c r="C3" s="15" t="inlineStr">
        <is>
          <t>PLS</t>
        </is>
      </c>
      <c r="D3" s="15" t="inlineStr">
        <is>
          <t>Árvores</t>
        </is>
      </c>
      <c r="E3" s="15" t="inlineStr">
        <is>
          <t>Brito e Assaf</t>
        </is>
      </c>
      <c r="F3" s="15" t="inlineStr">
        <is>
          <t>PLS menos F</t>
        </is>
      </c>
    </row>
    <row r="4" ht="15" customHeight="1" s="11">
      <c r="A4" s="16" t="inlineStr">
        <is>
          <t>Atribuição 1</t>
        </is>
      </c>
      <c r="B4" s="17" t="n">
        <v>0.76321274398884</v>
      </c>
      <c r="C4" s="17" t="n">
        <v>0.8767190434868573</v>
      </c>
      <c r="D4" s="17" t="n">
        <v>0.8968917167367831</v>
      </c>
      <c r="E4" s="17" t="n">
        <v>0.7352233658102572</v>
      </c>
      <c r="F4" s="18">
        <f>C4-B4</f>
        <v/>
      </c>
    </row>
    <row r="5" ht="15" customHeight="1" s="11">
      <c r="A5" s="16" t="inlineStr">
        <is>
          <t>Atribuição 2</t>
        </is>
      </c>
      <c r="B5" s="17" t="n">
        <v>0.7635587495468975</v>
      </c>
      <c r="C5" s="17" t="n">
        <v>0.8751167082239479</v>
      </c>
      <c r="D5" s="17" t="n">
        <v>0.8919934039257901</v>
      </c>
      <c r="E5" s="17" t="n">
        <v>0.7397159459132899</v>
      </c>
      <c r="F5" s="18">
        <f>C5-B5</f>
        <v/>
      </c>
    </row>
    <row r="6" ht="15" customHeight="1" s="11">
      <c r="A6" s="16" t="inlineStr">
        <is>
          <t>Atribuição 3</t>
        </is>
      </c>
      <c r="B6" s="17" t="n">
        <v>0.760230505607487</v>
      </c>
      <c r="C6" s="17" t="n">
        <v>0.875020595568932</v>
      </c>
      <c r="D6" s="17" t="n">
        <v>0.9054443699952768</v>
      </c>
      <c r="E6" s="17" t="n">
        <v>0.7341125781258582</v>
      </c>
      <c r="F6" s="18">
        <f>C6-B6</f>
        <v/>
      </c>
    </row>
    <row r="7" ht="15" customHeight="1" s="11">
      <c r="A7" s="16" t="inlineStr">
        <is>
          <t>Atribuição 4</t>
        </is>
      </c>
      <c r="B7" s="17" t="n">
        <v>0.7611820208921452</v>
      </c>
      <c r="C7" s="17" t="n">
        <v>0.8775675809268555</v>
      </c>
      <c r="D7" s="17" t="n">
        <v>0.8951465855292786</v>
      </c>
      <c r="E7" s="17" t="n">
        <v>0.7339807664846933</v>
      </c>
      <c r="F7" s="18">
        <f>C7-B7</f>
        <v/>
      </c>
    </row>
    <row r="8" ht="15" customHeight="1" s="11">
      <c r="A8" s="16" t="inlineStr">
        <is>
          <t>Atribuição 5</t>
        </is>
      </c>
      <c r="B8" s="17" t="n">
        <v>0.7642809674974461</v>
      </c>
      <c r="C8" s="17" t="n">
        <v>0.8681581520007908</v>
      </c>
      <c r="D8" s="17" t="n">
        <v>0.8913453300233966</v>
      </c>
      <c r="E8" s="17" t="n">
        <v>0.7058115203374378</v>
      </c>
      <c r="F8" s="18">
        <f>C8-B8</f>
        <v/>
      </c>
    </row>
    <row r="9" ht="15" customHeight="1" s="11">
      <c r="A9" s="16" t="inlineStr">
        <is>
          <t>Atribuição 6</t>
        </is>
      </c>
      <c r="B9" s="17" t="n">
        <v>0.7616159008776459</v>
      </c>
      <c r="C9" s="17" t="n">
        <v>0.8749025143070552</v>
      </c>
      <c r="D9" s="17" t="n">
        <v>0.8970331396434496</v>
      </c>
      <c r="E9" s="17" t="n">
        <v>0.7282332297147377</v>
      </c>
      <c r="F9" s="18">
        <f>C9-B9</f>
        <v/>
      </c>
    </row>
    <row r="10" ht="15" customHeight="1" s="11">
      <c r="A10" s="16" t="inlineStr">
        <is>
          <t>Atribuição 7</t>
        </is>
      </c>
      <c r="B10" s="17" t="n">
        <v>0.7591773855160975</v>
      </c>
      <c r="C10" s="17" t="n">
        <v>0.8702698843352848</v>
      </c>
      <c r="D10" s="17" t="n">
        <v>0.8980697832796933</v>
      </c>
      <c r="E10" s="17" t="n">
        <v>0.7258111908083349</v>
      </c>
      <c r="F10" s="18">
        <f>C10-B10</f>
        <v/>
      </c>
    </row>
    <row r="11" ht="15" customHeight="1" s="11">
      <c r="A11" s="16" t="inlineStr">
        <is>
          <t>Atribuição 8</t>
        </is>
      </c>
      <c r="B11" s="17" t="n">
        <v>0.7627802370412681</v>
      </c>
      <c r="C11" s="17" t="n">
        <v>0.8759968255363086</v>
      </c>
      <c r="D11" s="17" t="n">
        <v>0.8996982062632498</v>
      </c>
      <c r="E11" s="17" t="n">
        <v>0.7324223684355057</v>
      </c>
      <c r="F11" s="18">
        <f>C11-B11</f>
        <v/>
      </c>
    </row>
    <row r="12" ht="15" customHeight="1" s="11">
      <c r="A12" s="16" t="inlineStr">
        <is>
          <t>Atribuição 9</t>
        </is>
      </c>
      <c r="B12" s="17" t="n">
        <v>0.763870429156735</v>
      </c>
      <c r="C12" s="17" t="n">
        <v>0.876330473753007</v>
      </c>
      <c r="D12" s="17" t="n">
        <v>0.8963596645393732</v>
      </c>
      <c r="E12" s="17" t="n">
        <v>0.7064541020881161</v>
      </c>
      <c r="F12" s="18">
        <f>C12-B12</f>
        <v/>
      </c>
    </row>
    <row r="13" ht="15" customHeight="1" s="11">
      <c r="A13" s="16" t="inlineStr">
        <is>
          <t>Atribuição 10</t>
        </is>
      </c>
      <c r="B13" s="17" t="n">
        <v>0.7621390283285185</v>
      </c>
      <c r="C13" s="17" t="n">
        <v>0.8717060820088094</v>
      </c>
      <c r="D13" s="17" t="n">
        <v>0.9017014686013687</v>
      </c>
      <c r="E13" s="17" t="n">
        <v>0.7182388866310043</v>
      </c>
      <c r="F13" s="18">
        <f>C13-B13</f>
        <v/>
      </c>
    </row>
    <row r="14" ht="15" customHeight="1" s="11">
      <c r="A14" s="16" t="inlineStr">
        <is>
          <t>Média</t>
        </is>
      </c>
      <c r="B14" s="17">
        <f>AVERAGE(B4:B13)</f>
        <v/>
      </c>
      <c r="C14" s="17">
        <f>AVERAGE(C4:C13)</f>
        <v/>
      </c>
      <c r="D14" s="17">
        <f>AVERAGE(D4:D13)</f>
        <v/>
      </c>
      <c r="E14" s="17">
        <f>AVERAGE(E4:E13)</f>
        <v/>
      </c>
      <c r="F14" s="18">
        <f>AVERAGE(F4:F13)</f>
        <v/>
      </c>
    </row>
    <row r="15" ht="15" customHeight="1" s="11">
      <c r="A15" s="16" t="inlineStr">
        <is>
          <t>Desvio-padrão</t>
        </is>
      </c>
      <c r="B15" s="17">
        <f>STDEV(B4:B13)</f>
        <v/>
      </c>
      <c r="C15" s="17">
        <f>STDEV(C4:C13)</f>
        <v/>
      </c>
      <c r="D15" s="17">
        <f>STDEV(D4:D13)</f>
        <v/>
      </c>
      <c r="E15" s="17">
        <f>STDEV(E4:E13)</f>
        <v/>
      </c>
      <c r="F15" s="18">
        <f>STDEV(F4:F13)</f>
        <v/>
      </c>
    </row>
    <row r="16" ht="15" customHeight="1" s="11">
      <c r="A16" s="16" t="inlineStr">
        <is>
          <t>Mínimo</t>
        </is>
      </c>
      <c r="B16" s="17">
        <f>MIN(B4:B13)</f>
        <v/>
      </c>
      <c r="C16" s="17">
        <f>MIN(C4:C13)</f>
        <v/>
      </c>
      <c r="D16" s="17">
        <f>MIN(D4:D13)</f>
        <v/>
      </c>
      <c r="E16" s="17">
        <f>MIN(E4:E13)</f>
        <v/>
      </c>
      <c r="F16" s="18">
        <f>MIN(F4:F13)</f>
        <v/>
      </c>
    </row>
    <row r="18" ht="15" customHeight="1" s="11">
      <c r="A18" s="19" t="inlineStr">
        <is>
          <t>Fonte: 01. A atribuição 1 é a de referência.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6"/>
  </cols>
  <sheetData>
    <row r="1" ht="15" customHeight="1" s="11">
      <c r="A1" s="14" t="inlineStr">
        <is>
          <t>Estabilidade entre dez atribuições, horizonte de dois anos</t>
        </is>
      </c>
    </row>
    <row r="3" ht="30" customHeight="1" s="11">
      <c r="A3" s="15" t="inlineStr">
        <is>
          <t>Atribuição</t>
        </is>
      </c>
      <c r="B3" s="15" t="inlineStr">
        <is>
          <t>PCA (F)</t>
        </is>
      </c>
      <c r="C3" s="15" t="inlineStr">
        <is>
          <t>PLS</t>
        </is>
      </c>
      <c r="D3" s="15" t="inlineStr">
        <is>
          <t>Árvores</t>
        </is>
      </c>
      <c r="E3" s="15" t="inlineStr">
        <is>
          <t>Brito e Assaf</t>
        </is>
      </c>
      <c r="F3" s="15" t="inlineStr">
        <is>
          <t>PLS menos F</t>
        </is>
      </c>
    </row>
    <row r="4" ht="15" customHeight="1" s="11">
      <c r="A4" s="16" t="inlineStr">
        <is>
          <t>Atribuição 1</t>
        </is>
      </c>
      <c r="B4" s="17" t="n">
        <v>0.6263262473017398</v>
      </c>
      <c r="C4" s="17" t="n">
        <v>0.723652395444803</v>
      </c>
      <c r="D4" s="17" t="n">
        <v>0.7486232199110623</v>
      </c>
      <c r="E4" s="17" t="n">
        <v>0.6683218538096001</v>
      </c>
      <c r="F4" s="18">
        <f>C4-B4</f>
        <v/>
      </c>
    </row>
    <row r="5" ht="15" customHeight="1" s="11">
      <c r="A5" s="16" t="inlineStr">
        <is>
          <t>Atribuição 2</t>
        </is>
      </c>
      <c r="B5" s="17" t="n">
        <v>0.6267686475519249</v>
      </c>
      <c r="C5" s="17" t="n">
        <v>0.72058801095322</v>
      </c>
      <c r="D5" s="17" t="n">
        <v>0.7683700983196418</v>
      </c>
      <c r="E5" s="17" t="n">
        <v>0.6686975126427313</v>
      </c>
      <c r="F5" s="18">
        <f>C5-B5</f>
        <v/>
      </c>
    </row>
    <row r="6" ht="15" customHeight="1" s="11">
      <c r="A6" s="16" t="inlineStr">
        <is>
          <t>Atribuição 3</t>
        </is>
      </c>
      <c r="B6" s="17" t="n">
        <v>0.6255367916828753</v>
      </c>
      <c r="C6" s="17" t="n">
        <v>0.7372943410905929</v>
      </c>
      <c r="D6" s="17" t="n">
        <v>0.7613498546944006</v>
      </c>
      <c r="E6" s="17" t="n">
        <v>0.6679976812124818</v>
      </c>
      <c r="F6" s="18">
        <f>C6-B6</f>
        <v/>
      </c>
    </row>
    <row r="7" ht="15" customHeight="1" s="11">
      <c r="A7" s="16" t="inlineStr">
        <is>
          <t>Atribuição 4</t>
        </is>
      </c>
      <c r="B7" s="17" t="n">
        <v>0.6260669092240452</v>
      </c>
      <c r="C7" s="17" t="n">
        <v>0.7242606957888073</v>
      </c>
      <c r="D7" s="17" t="n">
        <v>0.7573367886318391</v>
      </c>
      <c r="E7" s="17" t="n">
        <v>0.6777323936141812</v>
      </c>
      <c r="F7" s="18">
        <f>C7-B7</f>
        <v/>
      </c>
    </row>
    <row r="8" ht="15" customHeight="1" s="11">
      <c r="A8" s="16" t="inlineStr">
        <is>
          <t>Atribuição 5</t>
        </is>
      </c>
      <c r="B8" s="17" t="n">
        <v>0.6274761065726947</v>
      </c>
      <c r="C8" s="17" t="n">
        <v>0.7289287811873107</v>
      </c>
      <c r="D8" s="17" t="n">
        <v>0.7557130652998024</v>
      </c>
      <c r="E8" s="17" t="n">
        <v>0.6666666666666666</v>
      </c>
      <c r="F8" s="18">
        <f>C8-B8</f>
        <v/>
      </c>
    </row>
    <row r="9" ht="15" customHeight="1" s="11">
      <c r="A9" s="16" t="inlineStr">
        <is>
          <t>Atribuição 6</t>
        </is>
      </c>
      <c r="B9" s="17" t="n">
        <v>0.6263853611282731</v>
      </c>
      <c r="C9" s="17" t="n">
        <v>0.7277274356803429</v>
      </c>
      <c r="D9" s="17" t="n">
        <v>0.7468498051150622</v>
      </c>
      <c r="E9" s="17" t="n">
        <v>0.6699102995354798</v>
      </c>
      <c r="F9" s="18">
        <f>C9-B9</f>
        <v/>
      </c>
    </row>
    <row r="10" ht="15" customHeight="1" s="11">
      <c r="A10" s="16" t="inlineStr">
        <is>
          <t>Atribuição 7</t>
        </is>
      </c>
      <c r="B10" s="17" t="n">
        <v>0.6266618612846387</v>
      </c>
      <c r="C10" s="17" t="n">
        <v>0.7305515510705324</v>
      </c>
      <c r="D10" s="17" t="n">
        <v>0.7643932633120524</v>
      </c>
      <c r="E10" s="17" t="n">
        <v>0.6714396314348261</v>
      </c>
      <c r="F10" s="18">
        <f>C10-B10</f>
        <v/>
      </c>
    </row>
    <row r="11" ht="15" customHeight="1" s="11">
      <c r="A11" s="16" t="inlineStr">
        <is>
          <t>Atribuição 8</t>
        </is>
      </c>
      <c r="B11" s="17" t="n">
        <v>0.6264387542619162</v>
      </c>
      <c r="C11" s="17" t="n">
        <v>0.732511841834283</v>
      </c>
      <c r="D11" s="17" t="n">
        <v>0.7321609726703432</v>
      </c>
      <c r="E11" s="17" t="n">
        <v>0.6642525342669504</v>
      </c>
      <c r="F11" s="18">
        <f>C11-B11</f>
        <v/>
      </c>
    </row>
    <row r="12" ht="15" customHeight="1" s="11">
      <c r="A12" s="16" t="inlineStr">
        <is>
          <t>Atribuição 9</t>
        </is>
      </c>
      <c r="B12" s="17" t="n">
        <v>0.6285249002692539</v>
      </c>
      <c r="C12" s="17" t="n">
        <v>0.7206681006536845</v>
      </c>
      <c r="D12" s="17" t="n">
        <v>0.753242679419998</v>
      </c>
      <c r="E12" s="17" t="n">
        <v>0.6545235425581413</v>
      </c>
      <c r="F12" s="18">
        <f>C12-B12</f>
        <v/>
      </c>
    </row>
    <row r="13" ht="15" customHeight="1" s="11">
      <c r="A13" s="16" t="inlineStr">
        <is>
          <t>Atribuição 10</t>
        </is>
      </c>
      <c r="B13" s="17" t="n">
        <v>0.625159225952114</v>
      </c>
      <c r="C13" s="17" t="n">
        <v>0.7240776336163169</v>
      </c>
      <c r="D13" s="17" t="n">
        <v>0.755812223976568</v>
      </c>
      <c r="E13" s="17" t="n">
        <v>0.6549716635012166</v>
      </c>
      <c r="F13" s="18">
        <f>C13-B13</f>
        <v/>
      </c>
    </row>
    <row r="14" ht="15" customHeight="1" s="11">
      <c r="A14" s="16" t="inlineStr">
        <is>
          <t>Média</t>
        </is>
      </c>
      <c r="B14" s="17">
        <f>AVERAGE(B4:B13)</f>
        <v/>
      </c>
      <c r="C14" s="17">
        <f>AVERAGE(C4:C13)</f>
        <v/>
      </c>
      <c r="D14" s="17">
        <f>AVERAGE(D4:D13)</f>
        <v/>
      </c>
      <c r="E14" s="17">
        <f>AVERAGE(E4:E13)</f>
        <v/>
      </c>
      <c r="F14" s="18">
        <f>AVERAGE(F4:F13)</f>
        <v/>
      </c>
    </row>
    <row r="15" ht="15" customHeight="1" s="11">
      <c r="A15" s="16" t="inlineStr">
        <is>
          <t>Desvio-padrão</t>
        </is>
      </c>
      <c r="B15" s="17">
        <f>STDEV(B4:B13)</f>
        <v/>
      </c>
      <c r="C15" s="17">
        <f>STDEV(C4:C13)</f>
        <v/>
      </c>
      <c r="D15" s="17">
        <f>STDEV(D4:D13)</f>
        <v/>
      </c>
      <c r="E15" s="17">
        <f>STDEV(E4:E13)</f>
        <v/>
      </c>
      <c r="F15" s="18">
        <f>STDEV(F4:F13)</f>
        <v/>
      </c>
    </row>
    <row r="16" ht="15" customHeight="1" s="11">
      <c r="A16" s="16" t="inlineStr">
        <is>
          <t>Mínimo</t>
        </is>
      </c>
      <c r="B16" s="17">
        <f>MIN(B4:B13)</f>
        <v/>
      </c>
      <c r="C16" s="17">
        <f>MIN(C4:C13)</f>
        <v/>
      </c>
      <c r="D16" s="17">
        <f>MIN(D4:D13)</f>
        <v/>
      </c>
      <c r="E16" s="17">
        <f>MIN(E4:E13)</f>
        <v/>
      </c>
      <c r="F16" s="18">
        <f>MIN(F4:F13)</f>
        <v/>
      </c>
    </row>
    <row r="18" ht="15" customHeight="1" s="11">
      <c r="A18" s="19" t="inlineStr">
        <is>
          <t>Fonte: 01. A atribuição 1 é a de referência.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9"/>
  </cols>
  <sheetData>
    <row r="1" ht="15" customHeight="1" s="11">
      <c r="A1" s="14" t="inlineStr">
        <is>
          <t>Tabela 14 – Diferenças em relação ao escore sintético, subconjuntos puros</t>
        </is>
      </c>
    </row>
    <row r="3" ht="30" customHeight="1" s="11">
      <c r="A3" s="15" t="inlineStr">
        <is>
          <t>Tipo de entrada</t>
        </is>
      </c>
      <c r="B3" s="15" t="inlineStr">
        <is>
          <t>Entradas</t>
        </is>
      </c>
      <c r="C3" s="15" t="inlineStr">
        <is>
          <t>Escore F</t>
        </is>
      </c>
      <c r="D3" s="15" t="inlineStr">
        <is>
          <t>Cobertura menos F</t>
        </is>
      </c>
      <c r="E3" s="15" t="inlineStr">
        <is>
          <t>IC inferior</t>
        </is>
      </c>
      <c r="F3" s="15" t="inlineStr">
        <is>
          <t>IC superior</t>
        </is>
      </c>
      <c r="G3" s="15" t="inlineStr">
        <is>
          <t>PLS menos F</t>
        </is>
      </c>
      <c r="H3" s="15" t="inlineStr">
        <is>
          <t>IC inferior</t>
        </is>
      </c>
      <c r="I3" s="15" t="inlineStr">
        <is>
          <t>IC superior</t>
        </is>
      </c>
    </row>
    <row r="4" ht="15" customHeight="1" s="11">
      <c r="A4" s="16" t="inlineStr">
        <is>
          <t>Prejuízo operacional, um ano</t>
        </is>
      </c>
      <c r="B4" s="20" t="n">
        <v>66</v>
      </c>
      <c r="C4" s="17" t="n">
        <v>0.6468779447502851</v>
      </c>
      <c r="D4" s="18" t="n">
        <v>0.3266084536031345</v>
      </c>
      <c r="E4" s="18" t="n">
        <v>0.2493054990813685</v>
      </c>
      <c r="F4" s="18" t="n">
        <v>0.4097134593232188</v>
      </c>
      <c r="G4" s="18" t="n">
        <v>0.293975970837673</v>
      </c>
      <c r="H4" s="18" t="n">
        <v>0.2229804391120515</v>
      </c>
      <c r="I4" s="18" t="n">
        <v>0.3728411692139859</v>
      </c>
    </row>
    <row r="5" ht="15" customHeight="1" s="11">
      <c r="A5" s="16" t="inlineStr">
        <is>
          <t>Patrimônio negativo, um ano</t>
        </is>
      </c>
      <c r="B5" s="20" t="n">
        <v>51</v>
      </c>
      <c r="C5" s="17" t="n">
        <v>0.8156228940021181</v>
      </c>
      <c r="D5" s="18" t="n">
        <v>-0.02869973685055038</v>
      </c>
      <c r="E5" s="18" t="n">
        <v>-0.09590775513597671</v>
      </c>
      <c r="F5" s="18" t="n">
        <v>0.03533681671835408</v>
      </c>
      <c r="G5" s="18" t="n">
        <v>-0.06303552517570044</v>
      </c>
      <c r="H5" s="18" t="n">
        <v>-0.1284256786414577</v>
      </c>
      <c r="I5" s="18" t="n">
        <v>0.001336722155975431</v>
      </c>
    </row>
    <row r="6" ht="15" customHeight="1" s="11">
      <c r="A6" s="16" t="inlineStr">
        <is>
          <t>Recuperação judicial, um ano</t>
        </is>
      </c>
      <c r="B6" s="20" t="n">
        <v>11</v>
      </c>
      <c r="C6" s="17" t="n">
        <v>0.8277600059514953</v>
      </c>
      <c r="D6" s="18" t="n">
        <v>0.0120982740663591</v>
      </c>
      <c r="E6" s="18" t="n">
        <v>-0.08891126902416062</v>
      </c>
      <c r="F6" s="18" t="n">
        <v>0.1100396224224637</v>
      </c>
      <c r="G6" s="18" t="n">
        <v>0.06343922035411398</v>
      </c>
      <c r="H6" s="18" t="n">
        <v>0.003489187615294262</v>
      </c>
      <c r="I6" s="18" t="n">
        <v>0.1342010797794001</v>
      </c>
    </row>
    <row r="7" ht="15" customHeight="1" s="11">
      <c r="A7" s="16" t="inlineStr">
        <is>
          <t>Prejuízo operacional, dois anos</t>
        </is>
      </c>
      <c r="B7" s="20" t="n">
        <v>52</v>
      </c>
      <c r="C7" s="17" t="n">
        <v>0.3773472442982294</v>
      </c>
      <c r="D7" s="18" t="n">
        <v>0.1447713747089048</v>
      </c>
      <c r="E7" s="18" t="n">
        <v>0.06038623113510876</v>
      </c>
      <c r="F7" s="18" t="n">
        <v>0.2301832063857286</v>
      </c>
      <c r="G7" s="18" t="n">
        <v>0.2734770635419362</v>
      </c>
      <c r="H7" s="18" t="n">
        <v>0.1923293109904629</v>
      </c>
      <c r="I7" s="18" t="n">
        <v>0.3513485271343187</v>
      </c>
    </row>
    <row r="8" ht="15" customHeight="1" s="11">
      <c r="A8" s="16" t="inlineStr">
        <is>
          <t>Patrimônio negativo, dois anos</t>
        </is>
      </c>
      <c r="B8" s="20" t="n">
        <v>46</v>
      </c>
      <c r="C8" s="17" t="n">
        <v>0.7952071537513319</v>
      </c>
      <c r="D8" s="18" t="n">
        <v>-0.004249106825731763</v>
      </c>
      <c r="E8" s="18" t="n">
        <v>-0.06783736856145642</v>
      </c>
      <c r="F8" s="18" t="n">
        <v>0.0665666337132101</v>
      </c>
      <c r="G8" s="18" t="n">
        <v>-0.08293984915279018</v>
      </c>
      <c r="H8" s="18" t="n">
        <v>-0.1412219039926418</v>
      </c>
      <c r="I8" s="18" t="n">
        <v>-0.02293671909468541</v>
      </c>
    </row>
    <row r="9" ht="15" customHeight="1" s="11">
      <c r="A9" s="16" t="inlineStr">
        <is>
          <t>Recuperação judicial, dois anos</t>
        </is>
      </c>
      <c r="B9" s="20" t="n">
        <v>9</v>
      </c>
      <c r="C9" s="17" t="n">
        <v>0.8008970046452026</v>
      </c>
      <c r="D9" s="18" t="n">
        <v>-0.08753804260772069</v>
      </c>
      <c r="E9" s="18" t="n">
        <v>-0.2416744874092348</v>
      </c>
      <c r="F9" s="18" t="n">
        <v>0.06564337737752496</v>
      </c>
      <c r="G9" s="18" t="n">
        <v>0.05317956110844146</v>
      </c>
      <c r="H9" s="18" t="n">
        <v>-0.02215458933907346</v>
      </c>
      <c r="I9" s="18" t="n">
        <v>0.1466768919158264</v>
      </c>
    </row>
    <row r="11" ht="15" customHeight="1" s="11">
      <c r="A11" s="19" t="inlineStr">
        <is>
          <t>Fonte: 13. Cada entrada satisfaz um único critério. Bootstrap agrupado por firma, sem correção por multiplicidade.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3" min="1" max="1"/>
    <col width="15" customWidth="1" style="13" min="2" max="4"/>
  </cols>
  <sheetData>
    <row r="1" ht="15" customHeight="1" s="11">
      <c r="A1" s="14" t="inlineStr">
        <is>
          <t>Tabela 15 – Perfil das firmas no momento da previsão, por rota de deterioração</t>
        </is>
      </c>
    </row>
    <row r="3" ht="30" customHeight="1" s="11">
      <c r="A3" s="15" t="inlineStr">
        <is>
          <t>Mediana no exercício t</t>
        </is>
      </c>
      <c r="B3" s="15" t="inlineStr">
        <is>
          <t>Entram por prejuízo operacional</t>
        </is>
      </c>
      <c r="C3" s="15" t="inlineStr">
        <is>
          <t>Entram por patrimônio negativo</t>
        </is>
      </c>
      <c r="D3" s="15" t="inlineStr">
        <is>
          <t>Não entram</t>
        </is>
      </c>
    </row>
    <row r="4" ht="15" customHeight="1" s="11">
      <c r="A4" s="16" t="inlineStr">
        <is>
          <t>Alavancagem</t>
        </is>
      </c>
      <c r="B4" s="21" t="n">
        <v>0.213065036228923</v>
      </c>
      <c r="C4" s="21" t="n">
        <v>0.425126544113893</v>
      </c>
      <c r="D4" s="21" t="n">
        <v>0.3264330184708675</v>
      </c>
    </row>
    <row r="5" ht="15" customHeight="1" s="11">
      <c r="A5" s="16" t="inlineStr">
        <is>
          <t>Liquidez corrente</t>
        </is>
      </c>
      <c r="B5" s="21" t="n">
        <v>1.998049410158685</v>
      </c>
      <c r="C5" s="21" t="n">
        <v>0.943732022580715</v>
      </c>
      <c r="D5" s="21" t="n">
        <v>1.428704657601445</v>
      </c>
    </row>
    <row r="6" ht="15" customHeight="1" s="11">
      <c r="A6" s="16" t="inlineStr">
        <is>
          <t>Capital de giro sobre ativo</t>
        </is>
      </c>
      <c r="B6" s="21" t="n">
        <v>0.1763647592953315</v>
      </c>
      <c r="C6" s="21" t="n">
        <v>-0.024871125548301</v>
      </c>
      <c r="D6" s="21" t="n">
        <v>0.08432206643525114</v>
      </c>
    </row>
    <row r="7" ht="15" customHeight="1" s="11">
      <c r="A7" s="16" t="inlineStr">
        <is>
          <t>Cobertura de juros</t>
        </is>
      </c>
      <c r="B7" s="21" t="n">
        <v>1.411095892305215</v>
      </c>
      <c r="C7" s="21" t="n">
        <v>0.37655960009212</v>
      </c>
      <c r="D7" s="21" t="n">
        <v>1.508201100068395</v>
      </c>
    </row>
    <row r="8" ht="15" customHeight="1" s="11">
      <c r="A8" s="16" t="inlineStr">
        <is>
          <t>Retorno sobre ativos</t>
        </is>
      </c>
      <c r="B8" s="21" t="n">
        <v>0.0163713580410209</v>
      </c>
      <c r="C8" s="21" t="n">
        <v>-0.0336808481906868</v>
      </c>
      <c r="D8" s="21" t="n">
        <v>0.03963596256557115</v>
      </c>
    </row>
    <row r="9" ht="15" customHeight="1" s="11">
      <c r="A9" s="16" t="inlineStr">
        <is>
          <t>Margem EBITDA</t>
        </is>
      </c>
      <c r="B9" s="21" t="n">
        <v>0.1320447505057315</v>
      </c>
      <c r="C9" s="21" t="n">
        <v>0.117722059244612</v>
      </c>
      <c r="D9" s="21" t="n">
        <v>0.211718870964725</v>
      </c>
    </row>
    <row r="10" ht="15" customHeight="1" s="11">
      <c r="A10" s="16" t="inlineStr">
        <is>
          <t>Logaritmo do ativo real</t>
        </is>
      </c>
      <c r="B10" s="21" t="n">
        <v>21.5013478037086</v>
      </c>
      <c r="C10" s="21" t="n">
        <v>21.4529774714187</v>
      </c>
      <c r="D10" s="21" t="n">
        <v>22.1732955377026</v>
      </c>
    </row>
    <row r="11" ht="15" customHeight="1" s="11">
      <c r="A11" s="16" t="inlineStr">
        <is>
          <t>Observações</t>
        </is>
      </c>
      <c r="B11" s="21" t="n">
        <v>52</v>
      </c>
      <c r="C11" s="21" t="n">
        <v>65</v>
      </c>
      <c r="D11" s="21" t="n">
        <v>4186</v>
      </c>
    </row>
    <row r="13" ht="15" customHeight="1" s="11">
      <c r="A13" s="19" t="inlineStr">
        <is>
          <t>Fonte: 13. Horizonte de dois anos, sobre a amostra de risco. A primeira coluna reúne as entradas apenas pelo critério de EBITDA; a segunda, todas as entradas por patrimônio líquido negativo, inclusive as que satisfazem outro critério.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G. M. Lopes</dc:creator>
  <dc:language xmlns:dc="http://purl.org/dc/elements/1.1/">en-US</dc:language>
  <dcterms:created xmlns:dcterms="http://purl.org/dc/terms/" xmlns:xsi="http://www.w3.org/2001/XMLSchema-instance" xsi:type="dcterms:W3CDTF">2026-09-23T18:44:50Z</dcterms:created>
  <dcterms:modified xmlns:dcterms="http://purl.org/dc/terms/" xmlns:xsi="http://www.w3.org/2001/XMLSchema-instance" xsi:type="dcterms:W3CDTF">2026-10-14T22:26:49Z</dcterms:modified>
  <cp:lastModifiedBy>Thomas G. M. Lopes</cp:lastModifiedBy>
  <cp:revision>0</cp:revision>
</cp:coreProperties>
</file>