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10_um_ano" sheetId="1" state="visible" r:id="rId1"/>
    <sheet xmlns:r="http://schemas.openxmlformats.org/officeDocument/2006/relationships" name="T10_dois_anos" sheetId="2" state="visible" r:id="rId2"/>
    <sheet xmlns:r="http://schemas.openxmlformats.org/officeDocument/2006/relationships" name="T11_temporal" sheetId="3" state="visible" r:id="rId3"/>
    <sheet xmlns:r="http://schemas.openxmlformats.org/officeDocument/2006/relationships" name="T13_decomposicao" sheetId="4" state="visible" r:id="rId4"/>
    <sheet xmlns:r="http://schemas.openxmlformats.org/officeDocument/2006/relationships" name="T16_diagnostico" sheetId="5" state="visible" r:id="rId5"/>
    <sheet xmlns:r="http://schemas.openxmlformats.org/officeDocument/2006/relationships" name="T17_metricas" sheetId="6" state="visible" r:id="rId6"/>
    <sheet xmlns:r="http://schemas.openxmlformats.org/officeDocument/2006/relationships" name="T18_definicoes" sheetId="7" state="visible" r:id="rId7"/>
    <sheet xmlns:r="http://schemas.openxmlformats.org/officeDocument/2006/relationships" name="T19_sensibilidade" sheetId="8" state="visible" r:id="rId8"/>
    <sheet xmlns:r="http://schemas.openxmlformats.org/officeDocument/2006/relationships" name="T20_defasagens" sheetId="9" state="visible" r:id="rId9"/>
    <sheet xmlns:r="http://schemas.openxmlformats.org/officeDocument/2006/relationships" name="Estabilidade_h1" sheetId="10" state="visible" r:id="rId10"/>
    <sheet xmlns:r="http://schemas.openxmlformats.org/officeDocument/2006/relationships" name="Estabilidade_h2" sheetId="11" state="visible" r:id="rId11"/>
    <sheet xmlns:r="http://schemas.openxmlformats.org/officeDocument/2006/relationships" name="T14_puros" sheetId="12" state="visible" r:id="rId12"/>
    <sheet xmlns:r="http://schemas.openxmlformats.org/officeDocument/2006/relationships" name="T15_perfil" sheetId="13" state="visible" r:id="rId13"/>
    <sheet xmlns:r="http://schemas.openxmlformats.org/officeDocument/2006/relationships" name="T17_revisada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0"/>
    <numFmt numFmtId="165" formatCode="\+0.0000;\-0.0000"/>
    <numFmt numFmtId="166" formatCode="0.000"/>
    <numFmt numFmtId="167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1"/>
      <family val="0"/>
      <b val="1"/>
      <sz val="11"/>
    </font>
    <font>
      <name val="Times New Roman"/>
      <charset val="1"/>
      <family val="0"/>
      <b val="1"/>
      <sz val="10"/>
    </font>
    <font>
      <name val="Times New Roman"/>
      <charset val="1"/>
      <family val="0"/>
      <sz val="10"/>
    </font>
    <font>
      <name val="Times New Roman"/>
      <charset val="1"/>
      <family val="0"/>
      <i val="1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166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166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0" fontId="8" fillId="0" borderId="0" pivotButton="0" quotePrefix="0" xfId="0"/>
    <xf numFmtId="164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10 – Desempenho fora da amostra, horizonte de um ano</t>
        </is>
      </c>
    </row>
    <row r="3" ht="30" customHeight="1" s="12">
      <c r="A3" s="14" t="inlineStr">
        <is>
          <t>Modelo</t>
        </is>
      </c>
      <c r="B3" s="14" t="inlineStr">
        <is>
          <t>AUC</t>
        </is>
      </c>
      <c r="C3" s="14" t="inlineStr">
        <is>
          <t>Diferença contra F</t>
        </is>
      </c>
      <c r="D3" s="14" t="inlineStr">
        <is>
          <t>IC 95% inferior</t>
        </is>
      </c>
      <c r="E3" s="14" t="inlineStr">
        <is>
          <t>IC 95% superior</t>
        </is>
      </c>
      <c r="F3" s="14" t="inlineStr">
        <is>
          <t>p bootstrap</t>
        </is>
      </c>
      <c r="G3" s="14" t="inlineStr">
        <is>
          <t>p ajustado</t>
        </is>
      </c>
    </row>
    <row r="4" ht="15" customHeight="1" s="12">
      <c r="A4" s="15" t="inlineStr">
        <is>
          <t>Componentes principais (F)</t>
        </is>
      </c>
      <c r="B4" s="16" t="n">
        <v>0.764267398338662</v>
      </c>
      <c r="C4" s="17" t="n"/>
      <c r="D4" s="17" t="n"/>
      <c r="E4" s="17" t="n"/>
      <c r="F4" s="16" t="n"/>
      <c r="G4" s="16" t="n"/>
    </row>
    <row r="5" ht="15" customHeight="1" s="12">
      <c r="A5" s="15" t="inlineStr">
        <is>
          <t>Árvores impulsionadas</t>
        </is>
      </c>
      <c r="B5" s="16" t="n">
        <v>0.900185430608796</v>
      </c>
      <c r="C5" s="17">
        <f>B5-$B$4</f>
        <v/>
      </c>
      <c r="D5" s="17" t="n">
        <v>0.09024207789425299</v>
      </c>
      <c r="E5" s="17" t="n">
        <v>0.183902588858983</v>
      </c>
      <c r="F5" s="16" t="n">
        <v>0.0005</v>
      </c>
      <c r="G5" s="16">
        <f>MIN(1,F5*6)</f>
        <v/>
      </c>
    </row>
    <row r="6" ht="15" customHeight="1" s="12">
      <c r="A6" s="15" t="inlineStr">
        <is>
          <t>Cobertura de juros</t>
        </is>
      </c>
      <c r="B6" s="16" t="n">
        <v>0.893687136214063</v>
      </c>
      <c r="C6" s="17">
        <f>B6-$B$4</f>
        <v/>
      </c>
      <c r="D6" s="17" t="n">
        <v>0.0800957193667922</v>
      </c>
      <c r="E6" s="17" t="n">
        <v>0.181328875610143</v>
      </c>
      <c r="F6" s="16" t="n">
        <v>0.0005</v>
      </c>
      <c r="G6" s="16">
        <f>MIN(1,F6*6)</f>
        <v/>
      </c>
    </row>
    <row r="7" ht="15" customHeight="1" s="12">
      <c r="A7" s="15" t="inlineStr">
        <is>
          <t>Mínimos quadrados parciais</t>
        </is>
      </c>
      <c r="B7" s="16" t="n">
        <v>0.875253031235395</v>
      </c>
      <c r="C7" s="17">
        <f>B7-$B$4</f>
        <v/>
      </c>
      <c r="D7" s="17" t="n">
        <v>0.0644198867522225</v>
      </c>
      <c r="E7" s="17" t="n">
        <v>0.160335239951334</v>
      </c>
      <c r="F7" s="16" t="n">
        <v>0.0005</v>
      </c>
      <c r="G7" s="16">
        <f>F7</f>
        <v/>
      </c>
    </row>
    <row r="8" ht="15" customHeight="1" s="12">
      <c r="A8" s="15" t="inlineStr">
        <is>
          <t>Retorno sobre ativos</t>
        </is>
      </c>
      <c r="B8" s="16" t="n">
        <v>0.873875664185579</v>
      </c>
      <c r="C8" s="17">
        <f>B8-$B$4</f>
        <v/>
      </c>
      <c r="D8" s="17" t="n">
        <v>0.0607085903949829</v>
      </c>
      <c r="E8" s="17" t="n">
        <v>0.157800455395518</v>
      </c>
      <c r="F8" s="16" t="n">
        <v>0.0005</v>
      </c>
      <c r="G8" s="16">
        <f>MIN(1,F8*6)</f>
        <v/>
      </c>
    </row>
    <row r="9" ht="15" customHeight="1" s="12">
      <c r="A9" s="15" t="inlineStr">
        <is>
          <t>Brito e Assaf Neto</t>
        </is>
      </c>
      <c r="B9" s="16" t="n">
        <v>0.734498453374412</v>
      </c>
      <c r="C9" s="17">
        <f>B9-$B$4</f>
        <v/>
      </c>
      <c r="D9" s="17" t="n">
        <v>-0.0751501393568418</v>
      </c>
      <c r="E9" s="17" t="n">
        <v>0.0162514157036613</v>
      </c>
      <c r="F9" s="16" t="n">
        <v>0.199</v>
      </c>
      <c r="G9" s="16">
        <f>MIN(1,F9*6)</f>
        <v/>
      </c>
    </row>
    <row r="10" ht="15" customHeight="1" s="12">
      <c r="A10" s="15" t="inlineStr">
        <is>
          <t>Liquidez corrente</t>
        </is>
      </c>
      <c r="B10" s="16" t="n">
        <v>0.603972025058487</v>
      </c>
      <c r="C10" s="17">
        <f>B10-$B$4</f>
        <v/>
      </c>
      <c r="D10" s="17" t="n">
        <v>-0.193073361694687</v>
      </c>
      <c r="E10" s="17" t="n">
        <v>-0.125432678801339</v>
      </c>
      <c r="F10" s="16" t="n">
        <v>0.0005</v>
      </c>
      <c r="G10" s="16">
        <f>MIN(1,F10*6)</f>
        <v/>
      </c>
    </row>
    <row r="11" ht="15" customHeight="1" s="12">
      <c r="A11" s="15" t="inlineStr">
        <is>
          <t>Alavancagem</t>
        </is>
      </c>
      <c r="B11" s="16" t="n">
        <v>0.531137403669964</v>
      </c>
      <c r="C11" s="17">
        <f>B11-$B$4</f>
        <v/>
      </c>
      <c r="D11" s="17" t="n">
        <v>-0.281592099154262</v>
      </c>
      <c r="E11" s="17" t="n">
        <v>-0.181285615837411</v>
      </c>
      <c r="F11" s="16" t="n">
        <v>0.0005</v>
      </c>
      <c r="G11" s="16">
        <f>MIN(1,F11*6)</f>
        <v/>
      </c>
    </row>
    <row r="12">
      <c r="A12" s="11" t="inlineStr">
        <is>
          <t>Fonte: 01 e 02. Validação cruzada agrupada por firma, atribuição de referência. Diferença por fórmula. p ajustado por Bonferroni para as seis comparações contra benchmarks e referência não linear; a comparação com mínimos quadrados parciais responde a H4 e não é ajustada.</t>
        </is>
      </c>
    </row>
    <row r="13" ht="15" customHeight="1" s="12">
      <c r="A13" s="18" t="inlineStr">
        <is>
          <t>Fonte: 01 e 02. Validação cruzada agrupada por firma, atribuição de referência. Diferença e p ajustado por fórmula.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10 – Desempenho fora da amostra, horizonte de dois anos</t>
        </is>
      </c>
    </row>
    <row r="3" ht="30" customHeight="1" s="12">
      <c r="A3" s="14" t="inlineStr">
        <is>
          <t>Modelo</t>
        </is>
      </c>
      <c r="B3" s="14" t="inlineStr">
        <is>
          <t>AUC</t>
        </is>
      </c>
      <c r="C3" s="14" t="inlineStr">
        <is>
          <t>Diferença contra F</t>
        </is>
      </c>
      <c r="D3" s="14" t="inlineStr">
        <is>
          <t>IC 95% inferior</t>
        </is>
      </c>
      <c r="E3" s="14" t="inlineStr">
        <is>
          <t>IC 95% superior</t>
        </is>
      </c>
      <c r="F3" s="14" t="inlineStr">
        <is>
          <t>p bootstrap</t>
        </is>
      </c>
      <c r="G3" s="14" t="inlineStr">
        <is>
          <t>p ajustado</t>
        </is>
      </c>
    </row>
    <row r="4" ht="15" customHeight="1" s="12">
      <c r="A4" s="15" t="inlineStr">
        <is>
          <t>Componentes principais (F)</t>
        </is>
      </c>
      <c r="B4" s="16" t="n">
        <v>0.6266128172318191</v>
      </c>
      <c r="C4" s="17" t="n"/>
      <c r="D4" s="17" t="n"/>
      <c r="E4" s="17" t="n"/>
      <c r="F4" s="16" t="n"/>
      <c r="G4" s="16" t="n"/>
    </row>
    <row r="5" ht="15" customHeight="1" s="12">
      <c r="A5" s="15" t="inlineStr">
        <is>
          <t>Árvores impulsionadas</t>
        </is>
      </c>
      <c r="B5" s="16" t="n">
        <v>0.751919385796545</v>
      </c>
      <c r="C5" s="17">
        <f>B5-$B$4</f>
        <v/>
      </c>
      <c r="D5" s="17" t="n">
        <v>0.0597613988902714</v>
      </c>
      <c r="E5" s="17" t="n">
        <v>0.191405616559016</v>
      </c>
      <c r="F5" s="16" t="n">
        <v>0.0005</v>
      </c>
      <c r="G5" s="16">
        <f>MIN(1,F5*6)</f>
        <v/>
      </c>
    </row>
    <row r="6" ht="15" customHeight="1" s="12">
      <c r="A6" s="15" t="inlineStr">
        <is>
          <t>Cobertura de juros</t>
        </is>
      </c>
      <c r="B6" s="16" t="n">
        <v>0.681287702221004</v>
      </c>
      <c r="C6" s="17">
        <f>B6-$B$4</f>
        <v/>
      </c>
      <c r="D6" s="17" t="n">
        <v>0.008098410066950199</v>
      </c>
      <c r="E6" s="17" t="n">
        <v>0.105182287672428</v>
      </c>
      <c r="F6" s="16" t="n">
        <v>0.02</v>
      </c>
      <c r="G6" s="16">
        <f>MIN(1,F6*6)</f>
        <v/>
      </c>
    </row>
    <row r="7" ht="15" customHeight="1" s="12">
      <c r="A7" s="15" t="inlineStr">
        <is>
          <t>Mínimos quadrados parciais</t>
        </is>
      </c>
      <c r="B7" s="16" t="n">
        <v>0.724754745148219</v>
      </c>
      <c r="C7" s="17">
        <f>B7-$B$4</f>
        <v/>
      </c>
      <c r="D7" s="17" t="n">
        <v>0.0493803501518459</v>
      </c>
      <c r="E7" s="17" t="n">
        <v>0.147854404332523</v>
      </c>
      <c r="F7" s="16" t="n">
        <v>0.0005</v>
      </c>
      <c r="G7" s="16">
        <f>F7</f>
        <v/>
      </c>
    </row>
    <row r="8" ht="15" customHeight="1" s="12">
      <c r="A8" s="15" t="inlineStr">
        <is>
          <t>Retorno sobre ativos</t>
        </is>
      </c>
      <c r="B8" s="16" t="n">
        <v>0.73071664686348</v>
      </c>
      <c r="C8" s="17">
        <f>B8-$B$4</f>
        <v/>
      </c>
      <c r="D8" s="17" t="n">
        <v>0.0596128290521198</v>
      </c>
      <c r="E8" s="17" t="n">
        <v>0.147957724829731</v>
      </c>
      <c r="F8" s="16" t="n">
        <v>0.0005</v>
      </c>
      <c r="G8" s="16">
        <f>MIN(1,F8*6)</f>
        <v/>
      </c>
    </row>
    <row r="9" ht="15" customHeight="1" s="12">
      <c r="A9" s="15" t="inlineStr">
        <is>
          <t>Brito e Assaf Neto</t>
        </is>
      </c>
      <c r="B9" s="16" t="n">
        <v>0.667237912439448</v>
      </c>
      <c r="C9" s="17">
        <f>B9-$B$4</f>
        <v/>
      </c>
      <c r="D9" s="17" t="n">
        <v>-0.0119712517042226</v>
      </c>
      <c r="E9" s="17" t="n">
        <v>0.09120181363480689</v>
      </c>
      <c r="F9" s="16" t="n">
        <v>0.115</v>
      </c>
      <c r="G9" s="16">
        <f>MIN(1,F9*6)</f>
        <v/>
      </c>
    </row>
    <row r="10" ht="15" customHeight="1" s="12">
      <c r="A10" s="15" t="inlineStr">
        <is>
          <t>Liquidez corrente</t>
        </is>
      </c>
      <c r="B10" s="16" t="n">
        <v>0.5680791670474969</v>
      </c>
      <c r="C10" s="17">
        <f>B10-$B$4</f>
        <v/>
      </c>
      <c r="D10" s="17" t="n">
        <v>-0.0905528171102274</v>
      </c>
      <c r="E10" s="17" t="n">
        <v>-0.0278237792693648</v>
      </c>
      <c r="F10" s="16" t="n">
        <v>0.0005</v>
      </c>
      <c r="G10" s="16">
        <f>MIN(1,F10*6)</f>
        <v/>
      </c>
    </row>
    <row r="11" ht="15" customHeight="1" s="12">
      <c r="A11" s="15" t="inlineStr">
        <is>
          <t>Alavancagem</t>
        </is>
      </c>
      <c r="B11" s="16" t="n">
        <v>0.505255461109588</v>
      </c>
      <c r="C11" s="17">
        <f>B11-$B$4</f>
        <v/>
      </c>
      <c r="D11" s="17" t="n">
        <v>-0.171218726408485</v>
      </c>
      <c r="E11" s="17" t="n">
        <v>-0.0753579660663876</v>
      </c>
      <c r="F11" s="16" t="n">
        <v>0.0005</v>
      </c>
      <c r="G11" s="16">
        <f>MIN(1,F11*6)</f>
        <v/>
      </c>
    </row>
    <row r="12">
      <c r="A12" s="11" t="inlineStr">
        <is>
          <t>Fonte: 01 e 02. Validação cruzada agrupada por firma, atribuição de referência. Diferença por fórmula. p ajustado por Bonferroni para as seis comparações contra benchmarks e referência não linear; a comparação com mínimos quadrados parciais responde a H4 e não é ajustada.</t>
        </is>
      </c>
    </row>
    <row r="13" ht="15" customHeight="1" s="12">
      <c r="A13" s="18" t="inlineStr">
        <is>
          <t>Fonte: 01 e 02. Validação cruzada agrupada por firma, atribuição de referência. Diferença e p ajustado por fórmula.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6"/>
  </cols>
  <sheetData>
    <row r="1" ht="15" customHeight="1" s="12">
      <c r="A1" s="13" t="inlineStr">
        <is>
          <t>Tabela 11 – Desempenho sob o esquema temporal</t>
        </is>
      </c>
    </row>
    <row r="3" ht="30" customHeight="1" s="12">
      <c r="A3" s="14" t="inlineStr">
        <is>
          <t>Modelo</t>
        </is>
      </c>
      <c r="B3" s="14" t="inlineStr">
        <is>
          <t>AUC um ano</t>
        </is>
      </c>
      <c r="C3" s="14" t="inlineStr">
        <is>
          <t>Diferença</t>
        </is>
      </c>
      <c r="D3" s="14" t="inlineStr">
        <is>
          <t>IC 95% inferior</t>
        </is>
      </c>
      <c r="E3" s="14" t="inlineStr">
        <is>
          <t>IC 95% superior</t>
        </is>
      </c>
      <c r="F3" s="14" t="inlineStr">
        <is>
          <t>AUC dois anos</t>
        </is>
      </c>
    </row>
    <row r="4" ht="15" customHeight="1" s="12">
      <c r="A4" s="15" t="inlineStr">
        <is>
          <t>Componentes principais (F)</t>
        </is>
      </c>
      <c r="B4" s="16" t="n">
        <v>0.743835421412301</v>
      </c>
      <c r="C4" s="17" t="n"/>
      <c r="D4" s="17" t="n"/>
      <c r="E4" s="17" t="n"/>
      <c r="F4" s="16" t="n">
        <v>0.680818252759095</v>
      </c>
    </row>
    <row r="5" ht="15" customHeight="1" s="12">
      <c r="A5" s="15" t="inlineStr">
        <is>
          <t>Árvores impulsionadas</t>
        </is>
      </c>
      <c r="B5" s="16" t="n">
        <v>0.910136674259681</v>
      </c>
      <c r="C5" s="17">
        <f>B5-$B$4</f>
        <v/>
      </c>
      <c r="D5" s="17" t="n">
        <v>0.0767620987579285</v>
      </c>
      <c r="E5" s="17" t="n">
        <v>0.265051116539149</v>
      </c>
      <c r="F5" s="16" t="n">
        <v>0.712682546170711</v>
      </c>
    </row>
    <row r="6" ht="15" customHeight="1" s="12">
      <c r="A6" s="15" t="inlineStr">
        <is>
          <t>Retorno sobre ativos</t>
        </is>
      </c>
      <c r="B6" s="16" t="n">
        <v>0.9035449886104781</v>
      </c>
      <c r="C6" s="17">
        <f>B6-$B$4</f>
        <v/>
      </c>
      <c r="D6" s="17" t="n">
        <v>0.06683609790819089</v>
      </c>
      <c r="E6" s="17" t="n">
        <v>0.25787137641433</v>
      </c>
      <c r="F6" s="16" t="n">
        <v>0.727249080301735</v>
      </c>
    </row>
    <row r="7" ht="15" customHeight="1" s="12">
      <c r="A7" s="15" t="inlineStr">
        <is>
          <t>Mínimos quadrados parciais</t>
        </is>
      </c>
      <c r="B7" s="16" t="n">
        <v>0.8995017084282459</v>
      </c>
      <c r="C7" s="17">
        <f>B7-$B$4</f>
        <v/>
      </c>
      <c r="D7" s="17" t="n">
        <v>0.063143941202702</v>
      </c>
      <c r="E7" s="17" t="n">
        <v>0.258642713944733</v>
      </c>
      <c r="F7" s="16" t="n">
        <v>0.6897736984876069</v>
      </c>
    </row>
    <row r="8" ht="15" customHeight="1" s="12">
      <c r="A8" s="15" t="inlineStr">
        <is>
          <t>Cobertura de juros</t>
        </is>
      </c>
      <c r="B8" s="16" t="n">
        <v>0.890546697038724</v>
      </c>
      <c r="C8" s="17">
        <f>B8-$B$4</f>
        <v/>
      </c>
      <c r="D8" s="17" t="n">
        <v>0.0446372700183863</v>
      </c>
      <c r="E8" s="17" t="n">
        <v>0.252442977628922</v>
      </c>
      <c r="F8" s="16" t="n">
        <v>0.722093196090818</v>
      </c>
    </row>
    <row r="9" ht="15" customHeight="1" s="12">
      <c r="A9" s="15" t="inlineStr">
        <is>
          <t>Brito e Assaf Neto</t>
        </is>
      </c>
      <c r="B9" s="16" t="n">
        <v>0.787015945330296</v>
      </c>
      <c r="C9" s="17">
        <f>B9-$B$4</f>
        <v/>
      </c>
      <c r="D9" s="17" t="n"/>
      <c r="E9" s="17" t="n"/>
      <c r="F9" s="16" t="n">
        <v>0.686262123295307</v>
      </c>
    </row>
    <row r="11" ht="15" customHeight="1" s="12">
      <c r="A11" s="18" t="inlineStr">
        <is>
          <t>Fonte: 10. Treino com desfechos até 2021 (109 entradas); teste de 2022 a 2025 (40 entradas em um ano, 34 em dois).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13 – Desempenho fora da amostra por tipo de entrada</t>
        </is>
      </c>
    </row>
    <row r="3" ht="30" customHeight="1" s="12">
      <c r="A3" s="14" t="inlineStr">
        <is>
          <t>Tipo de entrada</t>
        </is>
      </c>
      <c r="B3" s="14" t="inlineStr">
        <is>
          <t>Entradas</t>
        </is>
      </c>
      <c r="C3" s="14" t="inlineStr">
        <is>
          <t>Escore F</t>
        </is>
      </c>
      <c r="D3" s="14" t="inlineStr">
        <is>
          <t>Árvores</t>
        </is>
      </c>
      <c r="E3" s="14" t="inlineStr">
        <is>
          <t>Cobertura</t>
        </is>
      </c>
      <c r="F3" s="14" t="inlineStr">
        <is>
          <t>PLS</t>
        </is>
      </c>
      <c r="G3" s="14" t="inlineStr">
        <is>
          <t>ROA</t>
        </is>
      </c>
    </row>
    <row r="4" ht="15" customHeight="1" s="12">
      <c r="A4" s="15" t="inlineStr">
        <is>
          <t>Um ano</t>
        </is>
      </c>
      <c r="B4" s="19" t="n"/>
      <c r="C4" s="16" t="n"/>
      <c r="D4" s="16" t="n"/>
      <c r="E4" s="16" t="n"/>
      <c r="F4" s="16" t="n"/>
      <c r="G4" s="16" t="n"/>
    </row>
    <row r="5" ht="15" customHeight="1" s="12">
      <c r="A5" s="15" t="inlineStr">
        <is>
          <t>Somente por EBITDA negativo</t>
        </is>
      </c>
      <c r="B5" s="19" t="n">
        <v>66</v>
      </c>
      <c r="C5" s="16" t="n">
        <v>0.645674841121033</v>
      </c>
      <c r="D5" s="16" t="n">
        <v>0.969020303092184</v>
      </c>
      <c r="E5" s="16" t="n">
        <v>0.97298748151311</v>
      </c>
      <c r="F5" s="16" t="n">
        <v>0.938500999375004</v>
      </c>
      <c r="G5" s="16" t="n">
        <v>0.911730125432392</v>
      </c>
    </row>
    <row r="6" ht="15" customHeight="1" s="12">
      <c r="A6" s="15" t="inlineStr">
        <is>
          <t>Patrimônio líquido negativo</t>
        </is>
      </c>
      <c r="B6" s="19" t="n">
        <v>70</v>
      </c>
      <c r="C6" s="16" t="n">
        <v>0.858013360949853</v>
      </c>
      <c r="D6" s="16" t="n">
        <v>0.836109571457744</v>
      </c>
      <c r="E6" s="16" t="n">
        <v>0.8251101257329559</v>
      </c>
      <c r="F6" s="16" t="n">
        <v>0.806182502406721</v>
      </c>
      <c r="G6" s="16" t="n">
        <v>0.833224423116194</v>
      </c>
    </row>
    <row r="7" ht="15" customHeight="1" s="12">
      <c r="A7" s="15" t="inlineStr">
        <is>
          <t>Recuperação judicial</t>
        </is>
      </c>
      <c r="B7" s="19" t="n">
        <v>20</v>
      </c>
      <c r="C7" s="16" t="n">
        <v>0.887505615683071</v>
      </c>
      <c r="D7" s="16" t="n">
        <v>0.887425975086788</v>
      </c>
      <c r="E7" s="16" t="n">
        <v>0.869802940575863</v>
      </c>
      <c r="F7" s="16" t="n">
        <v>0.922327955891362</v>
      </c>
      <c r="G7" s="16" t="n">
        <v>0.917623034510925</v>
      </c>
    </row>
    <row r="8" ht="15" customHeight="1" s="12">
      <c r="A8" s="15" t="inlineStr">
        <is>
          <t>Todas as entradas</t>
        </is>
      </c>
      <c r="B8" s="19" t="n">
        <v>149</v>
      </c>
      <c r="C8" s="16" t="n">
        <v>0.763207716544714</v>
      </c>
      <c r="D8" s="16" t="n">
        <v>0.897094783410745</v>
      </c>
      <c r="E8" s="16" t="n">
        <v>0.893687136214063</v>
      </c>
      <c r="F8" s="16" t="n">
        <v>0.873822625275302</v>
      </c>
      <c r="G8" s="16" t="n">
        <v>0.873875664185579</v>
      </c>
    </row>
    <row r="9" ht="15" customHeight="1" s="12">
      <c r="A9" s="15" t="inlineStr">
        <is>
          <t>Dois anos</t>
        </is>
      </c>
      <c r="B9" s="19" t="n"/>
      <c r="C9" s="16" t="n"/>
      <c r="D9" s="16" t="n"/>
      <c r="E9" s="16" t="n"/>
      <c r="F9" s="16" t="n"/>
      <c r="G9" s="16" t="n"/>
    </row>
    <row r="10" ht="15" customHeight="1" s="12">
      <c r="A10" s="15" t="inlineStr">
        <is>
          <t>Somente por EBITDA negativo</t>
        </is>
      </c>
      <c r="B10" s="19" t="n">
        <v>52</v>
      </c>
      <c r="C10" s="16" t="n">
        <v>0.37722528790787</v>
      </c>
      <c r="D10" s="16" t="n">
        <v>0.7225567049313451</v>
      </c>
      <c r="E10" s="16" t="n">
        <v>0.522132917466411</v>
      </c>
      <c r="F10" s="16" t="n">
        <v>0.649544607264137</v>
      </c>
      <c r="G10" s="16" t="n">
        <v>0.595111102908608</v>
      </c>
    </row>
    <row r="11" ht="15" customHeight="1" s="12">
      <c r="A11" s="15" t="inlineStr">
        <is>
          <t>Patrimônio líquido negativo</t>
        </is>
      </c>
      <c r="B11" s="19" t="n">
        <v>63</v>
      </c>
      <c r="C11" s="16" t="n">
        <v>0.806624165981172</v>
      </c>
      <c r="D11" s="16" t="n">
        <v>0.772177855467203</v>
      </c>
      <c r="E11" s="16" t="n">
        <v>0.801733921335649</v>
      </c>
      <c r="F11" s="16" t="n">
        <v>0.764780413124943</v>
      </c>
      <c r="G11" s="16" t="n">
        <v>0.829193705633245</v>
      </c>
    </row>
    <row r="12" ht="15" customHeight="1" s="12">
      <c r="A12" s="15" t="inlineStr">
        <is>
          <t>Recuperação judicial</t>
        </is>
      </c>
      <c r="B12" s="19" t="n">
        <v>17</v>
      </c>
      <c r="C12" s="16" t="n">
        <v>0.806510387264311</v>
      </c>
      <c r="D12" s="16" t="n">
        <v>0.849143332956983</v>
      </c>
      <c r="E12" s="16" t="n">
        <v>0.766484136840917</v>
      </c>
      <c r="F12" s="16" t="n">
        <v>0.859347126566558</v>
      </c>
      <c r="G12" s="16" t="n">
        <v>0.825985096533815</v>
      </c>
    </row>
    <row r="13" ht="15" customHeight="1" s="12">
      <c r="A13" s="15" t="inlineStr">
        <is>
          <t>Todas as entradas</t>
        </is>
      </c>
      <c r="B13" s="19" t="n">
        <v>126</v>
      </c>
      <c r="C13" s="16" t="n">
        <v>0.626757151997075</v>
      </c>
      <c r="D13" s="16" t="n">
        <v>0.757206075008378</v>
      </c>
      <c r="E13" s="16" t="n">
        <v>0.681287702221004</v>
      </c>
      <c r="F13" s="16" t="n">
        <v>0.72646638789873</v>
      </c>
      <c r="G13" s="16" t="n">
        <v>0.73071664686348</v>
      </c>
    </row>
    <row r="15" ht="15" customHeight="1" s="12">
      <c r="A15" s="18" t="inlineStr">
        <is>
          <t>Fonte: 09. Médias sobre dez atribuições. Em cada linha, os não eventos são todos os da amostra e os eventos apenas os do tipo indicado.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5"/>
  </cols>
  <sheetData>
    <row r="1" ht="15" customHeight="1" s="12">
      <c r="A1" s="13" t="inlineStr">
        <is>
          <t>Tabela 16 – Poder discriminante, peso e natureza da variação</t>
        </is>
      </c>
    </row>
    <row r="3" ht="30" customHeight="1" s="12">
      <c r="A3" s="14" t="inlineStr">
        <is>
          <t>Indicador</t>
        </is>
      </c>
      <c r="B3" s="14" t="inlineStr">
        <is>
          <t>KS</t>
        </is>
      </c>
      <c r="C3" s="14" t="inlineStr">
        <is>
          <t>Carga CP1</t>
        </is>
      </c>
      <c r="D3" s="14" t="inlineStr">
        <is>
          <t>Peso PLS</t>
        </is>
      </c>
      <c r="E3" s="14" t="inlineStr">
        <is>
          <t>Variância entre firmas</t>
        </is>
      </c>
    </row>
    <row r="4" ht="15" customHeight="1" s="12">
      <c r="A4" s="15" t="inlineStr">
        <is>
          <t>ROA</t>
        </is>
      </c>
      <c r="B4" s="20" t="n">
        <v>0.780783062873292</v>
      </c>
      <c r="C4" s="20" t="n">
        <v>0.48627472863789</v>
      </c>
      <c r="D4" s="20" t="n">
        <v>0.889077026811682</v>
      </c>
      <c r="E4" s="21" t="n">
        <v>0.452236234964863</v>
      </c>
    </row>
    <row r="5" ht="15" customHeight="1" s="12">
      <c r="A5" s="15" t="inlineStr">
        <is>
          <t>COB</t>
        </is>
      </c>
      <c r="B5" s="20" t="n">
        <v>0.774695135092589</v>
      </c>
      <c r="C5" s="20" t="n">
        <v>0.238113071125549</v>
      </c>
      <c r="D5" s="20" t="n">
        <v>0.168890555847401</v>
      </c>
      <c r="E5" s="21" t="n">
        <v>0.366110304900671</v>
      </c>
    </row>
    <row r="6" ht="15" customHeight="1" s="12">
      <c r="A6" s="15" t="inlineStr">
        <is>
          <t>EBITDA</t>
        </is>
      </c>
      <c r="B6" s="20" t="n">
        <v>0.68833033169227</v>
      </c>
      <c r="C6" s="20" t="n">
        <v>0.226029228081107</v>
      </c>
      <c r="D6" s="20" t="n">
        <v>0.301210882140014</v>
      </c>
      <c r="E6" s="21" t="n">
        <v>0.44151965006269</v>
      </c>
    </row>
    <row r="7" ht="15" customHeight="1" s="12">
      <c r="A7" s="15" t="inlineStr">
        <is>
          <t>CG</t>
        </is>
      </c>
      <c r="B7" s="20" t="n">
        <v>0.350637278695345</v>
      </c>
      <c r="C7" s="20" t="n">
        <v>0.531605179440876</v>
      </c>
      <c r="D7" s="20" t="n">
        <v>0.106855974215405</v>
      </c>
      <c r="E7" s="21" t="n">
        <v>0.608172927280216</v>
      </c>
    </row>
    <row r="8" ht="15" customHeight="1" s="12">
      <c r="A8" s="15" t="inlineStr">
        <is>
          <t>LC</t>
        </is>
      </c>
      <c r="B8" s="20" t="n">
        <v>0.342364181207915</v>
      </c>
      <c r="C8" s="20" t="n">
        <v>0.373227621659178</v>
      </c>
      <c r="D8" s="20" t="n">
        <v>0.195024162423581</v>
      </c>
      <c r="E8" s="21" t="n">
        <v>0.55753687407719</v>
      </c>
    </row>
    <row r="9" ht="15" customHeight="1" s="12">
      <c r="A9" s="15" t="inlineStr">
        <is>
          <t>FCO</t>
        </is>
      </c>
      <c r="B9" s="20" t="n">
        <v>0.323418235110018</v>
      </c>
      <c r="C9" s="20" t="n">
        <v>0.178921799723756</v>
      </c>
      <c r="D9" s="20" t="n">
        <v>0.00650744486255841</v>
      </c>
      <c r="E9" s="21" t="n">
        <v>0.287004851493431</v>
      </c>
    </row>
    <row r="10" ht="15" customHeight="1" s="12">
      <c r="A10" s="15" t="inlineStr">
        <is>
          <t>CP</t>
        </is>
      </c>
      <c r="B10" s="20" t="n">
        <v>0.30599872188187</v>
      </c>
      <c r="C10" s="20" t="n">
        <v>0.17114287593687</v>
      </c>
      <c r="D10" s="20" t="n">
        <v>0.20193913561241</v>
      </c>
      <c r="E10" s="21" t="n">
        <v>0.551880562359334</v>
      </c>
    </row>
    <row r="11" ht="15" customHeight="1" s="12">
      <c r="A11" s="15" t="inlineStr">
        <is>
          <t>ALV</t>
        </is>
      </c>
      <c r="B11" s="20" t="n">
        <v>0.176199453894981</v>
      </c>
      <c r="C11" s="20" t="n">
        <v>0.415384187135599</v>
      </c>
      <c r="D11" s="20" t="n">
        <v>0.00395481183124808</v>
      </c>
      <c r="E11" s="21" t="n">
        <v>0.682760454855237</v>
      </c>
    </row>
    <row r="13" ht="15" customHeight="1" s="12">
      <c r="A13" s="18" t="inlineStr">
        <is>
          <t>Fonte: 11. Estatísticas descritivas estimadas sobre a amostra completa.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17 – Métricas de probabilidade e desempenho operacional</t>
        </is>
      </c>
    </row>
    <row r="3" ht="30" customHeight="1" s="12">
      <c r="A3" s="14" t="inlineStr">
        <is>
          <t>Modelo</t>
        </is>
      </c>
      <c r="B3" s="14" t="inlineStr">
        <is>
          <t>AUC precisão-revocação</t>
        </is>
      </c>
      <c r="C3" s="14" t="inlineStr">
        <is>
          <t>Brier</t>
        </is>
      </c>
      <c r="D3" s="14" t="inlineStr">
        <is>
          <t>Inclinação</t>
        </is>
      </c>
      <c r="E3" s="14" t="inlineStr">
        <is>
          <t>Firmas sinalizadas</t>
        </is>
      </c>
      <c r="F3" s="14" t="inlineStr">
        <is>
          <t>VPP</t>
        </is>
      </c>
      <c r="G3" s="14" t="inlineStr">
        <is>
          <t>Decisão líquida 10:1</t>
        </is>
      </c>
    </row>
    <row r="4" ht="15" customHeight="1" s="12">
      <c r="A4" s="15" t="inlineStr">
        <is>
          <t>Árvores impulsionadas</t>
        </is>
      </c>
      <c r="B4" s="20" t="n">
        <v>0.234261627665135</v>
      </c>
      <c r="C4" s="16" t="n">
        <v>0.0265137176514983</v>
      </c>
      <c r="D4" s="20" t="n">
        <v>1.01596915198933</v>
      </c>
      <c r="E4" s="21" t="n">
        <v>0.172017439556084</v>
      </c>
      <c r="F4" s="20" t="n">
        <v>0.13594470046083</v>
      </c>
      <c r="G4" s="17" t="n">
        <v>0.008244153785176379</v>
      </c>
    </row>
    <row r="5" ht="15" customHeight="1" s="12">
      <c r="A5" s="15" t="inlineStr">
        <is>
          <t>Cobertura de juros</t>
        </is>
      </c>
      <c r="B5" s="20" t="n">
        <v>0.214733717263813</v>
      </c>
      <c r="C5" s="16" t="n">
        <v>0.0279884457179383</v>
      </c>
      <c r="D5" s="20" t="n">
        <v>0.970449809886877</v>
      </c>
      <c r="E5" s="21" t="n">
        <v>0.186682520808561</v>
      </c>
      <c r="F5" s="20" t="n">
        <v>0.124203821656051</v>
      </c>
      <c r="G5" s="17" t="n">
        <v>0.00231866825208086</v>
      </c>
    </row>
    <row r="6" ht="15" customHeight="1" s="12">
      <c r="A6" s="15" t="inlineStr">
        <is>
          <t>Mínimos quadrados parciais</t>
        </is>
      </c>
      <c r="B6" s="20" t="n">
        <v>0.171928329526102</v>
      </c>
      <c r="C6" s="16" t="n">
        <v>0.0288484234983213</v>
      </c>
      <c r="D6" s="20" t="n">
        <v>1.00500507911664</v>
      </c>
      <c r="E6" s="21" t="n">
        <v>0.207689258818866</v>
      </c>
      <c r="F6" s="20" t="n">
        <v>0.112595419847328</v>
      </c>
      <c r="G6" s="17" t="n">
        <v>0.00370590566785573</v>
      </c>
    </row>
    <row r="7" ht="15" customHeight="1" s="12">
      <c r="A7" s="15" t="inlineStr">
        <is>
          <t>Retorno sobre ativos</t>
        </is>
      </c>
      <c r="B7" s="20" t="n">
        <v>0.17144107679132</v>
      </c>
      <c r="C7" s="16" t="n">
        <v>0.0289235936489408</v>
      </c>
      <c r="D7" s="20" t="n">
        <v>0.9681216349381651</v>
      </c>
      <c r="E7" s="21" t="n">
        <v>0.175782798256044</v>
      </c>
      <c r="F7" s="20" t="n">
        <v>0.133032694475761</v>
      </c>
      <c r="G7" s="17" t="n">
        <v>0.00307173999207293</v>
      </c>
    </row>
    <row r="8" ht="15" customHeight="1" s="12">
      <c r="A8" s="15" t="inlineStr">
        <is>
          <t>Componentes principais (F)</t>
        </is>
      </c>
      <c r="B8" s="20" t="n">
        <v>0.109522282672632</v>
      </c>
      <c r="C8" s="16" t="n">
        <v>0.0285132844958893</v>
      </c>
      <c r="D8" s="20" t="n">
        <v>0.973015511320882</v>
      </c>
      <c r="E8" s="21" t="n">
        <v>0.440943321442727</v>
      </c>
      <c r="F8" s="20" t="n">
        <v>0.0534831460674157</v>
      </c>
      <c r="G8" s="17" t="n">
        <v>0.00124851367419738</v>
      </c>
    </row>
    <row r="9" ht="15" customHeight="1" s="12">
      <c r="A9" s="15" t="inlineStr">
        <is>
          <t>Brito e Assaf Neto</t>
        </is>
      </c>
      <c r="B9" s="20" t="n">
        <v>0.07676792535361621</v>
      </c>
      <c r="C9" s="16" t="n">
        <v>0.0290237015411308</v>
      </c>
      <c r="D9" s="20" t="n">
        <v>0.738041435678831</v>
      </c>
      <c r="E9" s="21" t="n">
        <v>0.545977011494253</v>
      </c>
      <c r="F9" s="20" t="n">
        <v>0.0442831215970962</v>
      </c>
      <c r="G9" s="17" t="n">
        <v>-5.94530321046373e-05</v>
      </c>
    </row>
    <row r="10" ht="15" customHeight="1" s="12">
      <c r="A10" s="15" t="inlineStr">
        <is>
          <t>Referência sem informação</t>
        </is>
      </c>
      <c r="B10" s="20" t="n">
        <v>0.0295283392786366</v>
      </c>
      <c r="C10" s="16" t="n">
        <v>0.0286564164580823</v>
      </c>
      <c r="D10" s="20" t="n"/>
      <c r="E10" s="21" t="n"/>
      <c r="F10" s="20" t="n"/>
      <c r="G10" s="17" t="n">
        <v>-0.0675188267934998</v>
      </c>
    </row>
    <row r="12" ht="15" customHeight="1" s="12">
      <c r="A12" s="18" t="inlineStr">
        <is>
          <t>Fonte: 03. Limiar que atinge sensibilidade de 80% nas firmas de treino, aplicado às de teste.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7"/>
  </cols>
  <sheetData>
    <row r="1" ht="15" customHeight="1" s="12">
      <c r="A1" s="13" t="inlineStr">
        <is>
          <t>Tabela 18 – Definições alternativas do evento</t>
        </is>
      </c>
    </row>
    <row r="3" ht="30" customHeight="1" s="12">
      <c r="A3" s="14" t="inlineStr">
        <is>
          <t>Definição</t>
        </is>
      </c>
      <c r="B3" s="14" t="inlineStr">
        <is>
          <t>Obs.</t>
        </is>
      </c>
      <c r="C3" s="14" t="inlineStr">
        <is>
          <t>Entradas</t>
        </is>
      </c>
      <c r="D3" s="14" t="inlineStr">
        <is>
          <t>Escore F</t>
        </is>
      </c>
      <c r="E3" s="14" t="inlineStr">
        <is>
          <t>Árvores</t>
        </is>
      </c>
      <c r="F3" s="14" t="inlineStr">
        <is>
          <t>Cobertura</t>
        </is>
      </c>
      <c r="G3" s="14" t="inlineStr">
        <is>
          <t>PLS</t>
        </is>
      </c>
    </row>
    <row r="4" ht="15" customHeight="1" s="12">
      <c r="A4" s="15" t="inlineStr">
        <is>
          <t>Definição principal</t>
        </is>
      </c>
      <c r="B4" s="22" t="n">
        <v>5046</v>
      </c>
      <c r="C4" s="19" t="n">
        <v>149</v>
      </c>
      <c r="D4" s="16" t="n">
        <v>0.763207716544714</v>
      </c>
      <c r="E4" s="16" t="n">
        <v>0.897094783410745</v>
      </c>
      <c r="F4" s="16" t="n">
        <v>0.893687136214063</v>
      </c>
      <c r="G4" s="16" t="n">
        <v>0.873822625275302</v>
      </c>
    </row>
    <row r="5" ht="15" customHeight="1" s="12">
      <c r="A5" s="15" t="inlineStr">
        <is>
          <t>Sem as entradas exclusivas do critério de EBITDA</t>
        </is>
      </c>
      <c r="B5" s="22" t="n">
        <v>4980</v>
      </c>
      <c r="C5" s="19" t="n">
        <v>83</v>
      </c>
      <c r="D5" s="16" t="n">
        <v>0.856667593387641</v>
      </c>
      <c r="E5" s="16" t="n">
        <v>0.85752083276951</v>
      </c>
      <c r="F5" s="16" t="n">
        <v>0.830629030313617</v>
      </c>
      <c r="G5" s="16" t="n">
        <v>0.856184632341906</v>
      </c>
    </row>
    <row r="6" ht="15" customHeight="1" s="12">
      <c r="A6" s="15" t="inlineStr">
        <is>
          <t>Restritiva: PL negativo ou recuperação judicial</t>
        </is>
      </c>
      <c r="B6" s="22" t="n">
        <v>5575</v>
      </c>
      <c r="C6" s="19" t="n">
        <v>81</v>
      </c>
      <c r="D6" s="16" t="n">
        <v>0.889054726368159</v>
      </c>
      <c r="E6" s="16" t="n">
        <v>0.9546189558081321</v>
      </c>
      <c r="F6" s="16" t="n">
        <v>0.900035729213014</v>
      </c>
      <c r="G6" s="16" t="n">
        <v>0.931884165441986</v>
      </c>
    </row>
    <row r="8" ht="15" customHeight="1" s="12">
      <c r="A8" s="18" t="inlineStr">
        <is>
          <t>Fonte: 08. Médias sobre dez atribuições, horizonte de um ano.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8"/>
  </cols>
  <sheetData>
    <row r="1" ht="15" customHeight="1" s="12">
      <c r="A1" s="13" t="inlineStr">
        <is>
          <t>Tabela 19 – Sensibilidade das conclusões principais</t>
        </is>
      </c>
    </row>
    <row r="3" ht="30" customHeight="1" s="12">
      <c r="A3" s="14" t="inlineStr">
        <is>
          <t>Especificação</t>
        </is>
      </c>
      <c r="B3" s="14" t="inlineStr">
        <is>
          <t>Obs.</t>
        </is>
      </c>
      <c r="C3" s="14" t="inlineStr">
        <is>
          <t>Entradas</t>
        </is>
      </c>
      <c r="D3" s="14" t="inlineStr">
        <is>
          <t>Escore F</t>
        </is>
      </c>
      <c r="E3" s="14" t="inlineStr">
        <is>
          <t>PLS</t>
        </is>
      </c>
      <c r="F3" s="14" t="inlineStr">
        <is>
          <t>Cobertura</t>
        </is>
      </c>
      <c r="G3" s="14" t="inlineStr">
        <is>
          <t>ROA</t>
        </is>
      </c>
      <c r="H3" s="14" t="inlineStr">
        <is>
          <t>PLS menos F</t>
        </is>
      </c>
    </row>
    <row r="4" ht="15" customHeight="1" s="12">
      <c r="A4" s="15" t="inlineStr">
        <is>
          <t>Especificação principal</t>
        </is>
      </c>
      <c r="B4" s="22" t="n">
        <v>5046</v>
      </c>
      <c r="C4" s="19" t="n">
        <v>149</v>
      </c>
      <c r="D4" s="16" t="n">
        <v>0.764267398338662</v>
      </c>
      <c r="E4" s="16" t="n">
        <v>0.875253031235395</v>
      </c>
      <c r="F4" s="16" t="n">
        <v>0.893687136214063</v>
      </c>
      <c r="G4" s="16" t="n">
        <v>0.873875664185579</v>
      </c>
      <c r="H4" s="17">
        <f>E4-D4</f>
        <v/>
      </c>
    </row>
    <row r="5" ht="15" customHeight="1" s="12">
      <c r="A5" s="15" t="inlineStr">
        <is>
          <t>Excluídas as entradas exclusivamente por recuperação judicial</t>
        </is>
      </c>
      <c r="B5" s="22" t="n">
        <v>5035</v>
      </c>
      <c r="C5" s="19" t="n">
        <v>138</v>
      </c>
      <c r="D5" s="16" t="n">
        <v>0.759206316792594</v>
      </c>
      <c r="E5" s="16" t="n">
        <v>0.875920779655098</v>
      </c>
      <c r="F5" s="16" t="n">
        <v>0.898019491377448</v>
      </c>
      <c r="G5" s="16" t="n">
        <v>0.873017493703628</v>
      </c>
      <c r="H5" s="17">
        <f>E5-D5</f>
        <v/>
      </c>
    </row>
    <row r="6" ht="15" customHeight="1" s="12">
      <c r="A6" s="15" t="inlineStr">
        <is>
          <t>Somente a primeira entrada de cada firma</t>
        </is>
      </c>
      <c r="B6" s="22" t="n">
        <v>4629</v>
      </c>
      <c r="C6" s="19" t="n">
        <v>130</v>
      </c>
      <c r="D6" s="16" t="n">
        <v>0.789324123309453</v>
      </c>
      <c r="E6" s="16" t="n">
        <v>0.897084822268196</v>
      </c>
      <c r="F6" s="16" t="n">
        <v>0.90651426812796</v>
      </c>
      <c r="G6" s="16" t="n">
        <v>0.886800485577992</v>
      </c>
      <c r="H6" s="17">
        <f>E6-D6</f>
        <v/>
      </c>
    </row>
    <row r="7" ht="15" customHeight="1" s="12">
      <c r="A7" s="15" t="inlineStr">
        <is>
          <t>Saídas associadas a distress tratadas como evento</t>
        </is>
      </c>
      <c r="B7" s="22" t="n">
        <v>5052</v>
      </c>
      <c r="C7" s="19" t="n">
        <v>155</v>
      </c>
      <c r="D7" s="16" t="n">
        <v>0.7665311876263941</v>
      </c>
      <c r="E7" s="16" t="n">
        <v>0.877987181091781</v>
      </c>
      <c r="F7" s="16" t="n">
        <v>0.894770992114988</v>
      </c>
      <c r="G7" s="16" t="n">
        <v>0.875601256859038</v>
      </c>
      <c r="H7" s="17">
        <f>E7-D7</f>
        <v/>
      </c>
    </row>
    <row r="8" ht="15" customHeight="1" s="12">
      <c r="A8" s="15" t="inlineStr">
        <is>
          <t>Somente firmas com registro ativo ao fim do período</t>
        </is>
      </c>
      <c r="B8" s="22" t="n">
        <v>4201</v>
      </c>
      <c r="C8" s="19" t="n">
        <v>104</v>
      </c>
      <c r="D8" s="16" t="n">
        <v>0.744979910253281</v>
      </c>
      <c r="E8" s="16" t="n">
        <v>0.890046187641989</v>
      </c>
      <c r="F8" s="16" t="n">
        <v>0.90976629240908</v>
      </c>
      <c r="G8" s="16" t="n">
        <v>0.892249957755206</v>
      </c>
      <c r="H8" s="17">
        <f>E8-D8</f>
        <v/>
      </c>
    </row>
    <row r="10" ht="15" customHeight="1" s="12">
      <c r="A10" s="18" t="inlineStr">
        <is>
          <t>Fonte: 04, 05 e 07. Horizonte de um ano, atribuição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3"/>
  </cols>
  <sheetData>
    <row r="1" ht="15" customHeight="1" s="12">
      <c r="A1" s="13" t="inlineStr">
        <is>
          <t>Tabela 20 – Efeito da inclusão de defasagens e variações</t>
        </is>
      </c>
    </row>
    <row r="3" ht="30" customHeight="1" s="12">
      <c r="A3" s="14" t="inlineStr">
        <is>
          <t>Especificação</t>
        </is>
      </c>
      <c r="B3" s="14" t="inlineStr">
        <is>
          <t>AUC fora da amostra</t>
        </is>
      </c>
      <c r="C3" s="14" t="inlineStr">
        <is>
          <t>Diferença</t>
        </is>
      </c>
    </row>
    <row r="4" ht="15" customHeight="1" s="12">
      <c r="A4" s="15" t="inlineStr">
        <is>
          <t>Escore sintético em nível</t>
        </is>
      </c>
      <c r="B4" s="16" t="n">
        <v>0.762685824631709</v>
      </c>
      <c r="C4" s="17" t="n"/>
    </row>
    <row r="5" ht="15" customHeight="1" s="12">
      <c r="A5" s="15" t="inlineStr">
        <is>
          <t>Escore em nível e defasado</t>
        </is>
      </c>
      <c r="B5" s="16" t="n">
        <v>0.778659170866151</v>
      </c>
      <c r="C5" s="17">
        <f>B5-B4</f>
        <v/>
      </c>
    </row>
    <row r="6" ht="15" customHeight="1" s="12">
      <c r="A6" s="15" t="inlineStr">
        <is>
          <t>Cobertura de juros em nível</t>
        </is>
      </c>
      <c r="B6" s="16" t="n">
        <v>0.886041035944483</v>
      </c>
      <c r="C6" s="17" t="n"/>
    </row>
    <row r="7" ht="15" customHeight="1" s="12">
      <c r="A7" s="15" t="inlineStr">
        <is>
          <t>Cobertura em nível e defasada</t>
        </is>
      </c>
      <c r="B7" s="16" t="n">
        <v>0.885591507195886</v>
      </c>
      <c r="C7" s="17">
        <f>B7-B6</f>
        <v/>
      </c>
    </row>
    <row r="8" ht="15" customHeight="1" s="12">
      <c r="A8" s="15" t="inlineStr">
        <is>
          <t>Escore supervisionado, oito níveis</t>
        </is>
      </c>
      <c r="B8" s="16" t="n">
        <v>0.875983515451866</v>
      </c>
      <c r="C8" s="17" t="n"/>
    </row>
    <row r="9" ht="15" customHeight="1" s="12">
      <c r="A9" s="15" t="inlineStr">
        <is>
          <t>Escore supervisionado, oito níveis e oito variações</t>
        </is>
      </c>
      <c r="B9" s="16" t="n">
        <v>0.853337134226818</v>
      </c>
      <c r="C9" s="17">
        <f>B9-B8</f>
        <v/>
      </c>
    </row>
    <row r="11" ht="15" customHeight="1" s="12">
      <c r="A11" s="18" t="inlineStr">
        <is>
          <t>Fonte: 05. Amostra de 5046 observações e 149 entradas; probit dentro de cada partição.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6"/>
  </cols>
  <sheetData>
    <row r="1" ht="15" customHeight="1" s="12">
      <c r="A1" s="13" t="inlineStr">
        <is>
          <t>Estabilidade entre dez atribuições, horizonte de um ano</t>
        </is>
      </c>
    </row>
    <row r="3" ht="30" customHeight="1" s="12">
      <c r="A3" s="14" t="inlineStr">
        <is>
          <t>Atribuição</t>
        </is>
      </c>
      <c r="B3" s="14" t="inlineStr">
        <is>
          <t>PCA (F)</t>
        </is>
      </c>
      <c r="C3" s="14" t="inlineStr">
        <is>
          <t>PLS</t>
        </is>
      </c>
      <c r="D3" s="14" t="inlineStr">
        <is>
          <t>Árvores</t>
        </is>
      </c>
      <c r="E3" s="14" t="inlineStr">
        <is>
          <t>Brito e Assaf</t>
        </is>
      </c>
      <c r="F3" s="14" t="inlineStr">
        <is>
          <t>PLS menos F</t>
        </is>
      </c>
    </row>
    <row r="4" ht="15" customHeight="1" s="12">
      <c r="A4" s="15" t="inlineStr">
        <is>
          <t>Atribuição 1</t>
        </is>
      </c>
      <c r="B4" s="16" t="n">
        <v>0.764267398338662</v>
      </c>
      <c r="C4" s="16" t="n">
        <v>0.875253031235395</v>
      </c>
      <c r="D4" s="16" t="n">
        <v>0.900185430608796</v>
      </c>
      <c r="E4" s="16" t="n">
        <v>0.734498453374412</v>
      </c>
      <c r="F4" s="17">
        <f>C4-B4</f>
        <v/>
      </c>
    </row>
    <row r="5" ht="15" customHeight="1" s="12">
      <c r="A5" s="15" t="inlineStr">
        <is>
          <t>Atribuição 2</t>
        </is>
      </c>
      <c r="B5" s="16" t="n">
        <v>0.764651142392343</v>
      </c>
      <c r="C5" s="16" t="n">
        <v>0.874724012647108</v>
      </c>
      <c r="D5" s="16" t="n">
        <v>0.891410711667053</v>
      </c>
      <c r="E5" s="16" t="n">
        <v>0.739110234590963</v>
      </c>
      <c r="F5" s="17">
        <f>C5-B5</f>
        <v/>
      </c>
    </row>
    <row r="6" ht="15" customHeight="1" s="12">
      <c r="A6" s="15" t="inlineStr">
        <is>
          <t>Atribuição 3</t>
        </is>
      </c>
      <c r="B6" s="16" t="n">
        <v>0.761212521568472</v>
      </c>
      <c r="C6" s="16" t="n">
        <v>0.874192253029865</v>
      </c>
      <c r="D6" s="16" t="n">
        <v>0.90335611585233</v>
      </c>
      <c r="E6" s="16" t="n">
        <v>0.73342808156754</v>
      </c>
      <c r="F6" s="17">
        <f>C6-B6</f>
        <v/>
      </c>
    </row>
    <row r="7" ht="15" customHeight="1" s="12">
      <c r="A7" s="15" t="inlineStr">
        <is>
          <t>Atribuição 4</t>
        </is>
      </c>
      <c r="B7" s="16" t="n">
        <v>0.762180104789537</v>
      </c>
      <c r="C7" s="16" t="n">
        <v>0.877347177356908</v>
      </c>
      <c r="D7" s="16" t="n">
        <v>0.895519514070387</v>
      </c>
      <c r="E7" s="16" t="n">
        <v>0.733607618964083</v>
      </c>
      <c r="F7" s="17">
        <f>C7-B7</f>
        <v/>
      </c>
    </row>
    <row r="8" ht="15" customHeight="1" s="12">
      <c r="A8" s="15" t="inlineStr">
        <is>
          <t>Atribuição 5</t>
        </is>
      </c>
      <c r="B8" s="16" t="n">
        <v>0.765218535385999</v>
      </c>
      <c r="C8" s="16" t="n">
        <v>0.868708824605669</v>
      </c>
      <c r="D8" s="16" t="n">
        <v>0.891981530946902</v>
      </c>
      <c r="E8" s="16" t="n">
        <v>0.705465474684542</v>
      </c>
      <c r="F8" s="17">
        <f>C8-B8</f>
        <v/>
      </c>
    </row>
    <row r="9" ht="15" customHeight="1" s="12">
      <c r="A9" s="15" t="inlineStr">
        <is>
          <t>Atribuição 6</t>
        </is>
      </c>
      <c r="B9" s="16" t="n">
        <v>0.762594000161721</v>
      </c>
      <c r="C9" s="16" t="n">
        <v>0.875088569498104</v>
      </c>
      <c r="D9" s="16" t="n">
        <v>0.897446457425653</v>
      </c>
      <c r="E9" s="16" t="n">
        <v>0.7277130361966579</v>
      </c>
      <c r="F9" s="17">
        <f>C9-B9</f>
        <v/>
      </c>
    </row>
    <row r="10" ht="15" customHeight="1" s="12">
      <c r="A10" s="15" t="inlineStr">
        <is>
          <t>Atribuição 7</t>
        </is>
      </c>
      <c r="B10" s="16" t="n">
        <v>0.760266866579045</v>
      </c>
      <c r="C10" s="16" t="n">
        <v>0.870086191655486</v>
      </c>
      <c r="D10" s="16" t="n">
        <v>0.8983749809841119</v>
      </c>
      <c r="E10" s="16" t="n">
        <v>0.725224181905646</v>
      </c>
      <c r="F10" s="17">
        <f>C10-B10</f>
        <v/>
      </c>
    </row>
    <row r="11" ht="15" customHeight="1" s="12">
      <c r="A11" s="15" t="inlineStr">
        <is>
          <t>Atribuição 8</t>
        </is>
      </c>
      <c r="B11" s="16" t="n">
        <v>0.7638192401045431</v>
      </c>
      <c r="C11" s="16" t="n">
        <v>0.875402417313435</v>
      </c>
      <c r="D11" s="16" t="n">
        <v>0.898148846095336</v>
      </c>
      <c r="E11" s="16" t="n">
        <v>0.731634078116584</v>
      </c>
      <c r="F11" s="17">
        <f>C11-B11</f>
        <v/>
      </c>
    </row>
    <row r="12" ht="15" customHeight="1" s="12">
      <c r="A12" s="15" t="inlineStr">
        <is>
          <t>Atribuição 9</t>
        </is>
      </c>
      <c r="B12" s="16" t="n">
        <v>0.764874536252164</v>
      </c>
      <c r="C12" s="16" t="n">
        <v>0.876013666770369</v>
      </c>
      <c r="D12" s="16" t="n">
        <v>0.895207722026772</v>
      </c>
      <c r="E12" s="16" t="n">
        <v>0.705920485491049</v>
      </c>
      <c r="F12" s="17">
        <f>C12-B12</f>
        <v/>
      </c>
    </row>
    <row r="13" ht="15" customHeight="1" s="12">
      <c r="A13" s="15" t="inlineStr">
        <is>
          <t>Atribuição 10</t>
        </is>
      </c>
      <c r="B13" s="16" t="n">
        <v>0.7629928198746529</v>
      </c>
      <c r="C13" s="16" t="n">
        <v>0.871410108640683</v>
      </c>
      <c r="D13" s="16" t="n">
        <v>0.899316524430106</v>
      </c>
      <c r="E13" s="16" t="n">
        <v>0.717530113629355</v>
      </c>
      <c r="F13" s="17">
        <f>C13-B13</f>
        <v/>
      </c>
    </row>
    <row r="14" ht="15" customHeight="1" s="12">
      <c r="A14" s="15" t="inlineStr">
        <is>
          <t>Média</t>
        </is>
      </c>
      <c r="B14" s="16">
        <f>AVERAGE(B4:B13)</f>
        <v/>
      </c>
      <c r="C14" s="16">
        <f>AVERAGE(C4:C13)</f>
        <v/>
      </c>
      <c r="D14" s="16">
        <f>AVERAGE(D4:D13)</f>
        <v/>
      </c>
      <c r="E14" s="16">
        <f>AVERAGE(E4:E13)</f>
        <v/>
      </c>
      <c r="F14" s="17">
        <f>AVERAGE(F4:F13)</f>
        <v/>
      </c>
    </row>
    <row r="15" ht="15" customHeight="1" s="12">
      <c r="A15" s="15" t="inlineStr">
        <is>
          <t>Desvio-padrão</t>
        </is>
      </c>
      <c r="B15" s="16">
        <f>STDEV(B4:B13)</f>
        <v/>
      </c>
      <c r="C15" s="16">
        <f>STDEV(C4:C13)</f>
        <v/>
      </c>
      <c r="D15" s="16">
        <f>STDEV(D4:D13)</f>
        <v/>
      </c>
      <c r="E15" s="16">
        <f>STDEV(E4:E13)</f>
        <v/>
      </c>
      <c r="F15" s="17">
        <f>STDEV(F4:F13)</f>
        <v/>
      </c>
    </row>
    <row r="16" ht="15" customHeight="1" s="12">
      <c r="A16" s="15" t="inlineStr">
        <is>
          <t>Mínimo</t>
        </is>
      </c>
      <c r="B16" s="16">
        <f>MIN(B4:B13)</f>
        <v/>
      </c>
      <c r="C16" s="16">
        <f>MIN(C4:C13)</f>
        <v/>
      </c>
      <c r="D16" s="16">
        <f>MIN(D4:D13)</f>
        <v/>
      </c>
      <c r="E16" s="16">
        <f>MIN(E4:E13)</f>
        <v/>
      </c>
      <c r="F16" s="17">
        <f>MIN(F4:F13)</f>
        <v/>
      </c>
    </row>
    <row r="18" ht="15" customHeight="1" s="12">
      <c r="A18" s="18" t="inlineStr">
        <is>
          <t>Fonte: 01. A atribuição 1 é a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6"/>
  </cols>
  <sheetData>
    <row r="1" ht="15" customHeight="1" s="12">
      <c r="A1" s="13" t="inlineStr">
        <is>
          <t>Estabilidade entre dez atribuições, horizonte de dois anos</t>
        </is>
      </c>
    </row>
    <row r="3" ht="30" customHeight="1" s="12">
      <c r="A3" s="14" t="inlineStr">
        <is>
          <t>Atribuição</t>
        </is>
      </c>
      <c r="B3" s="14" t="inlineStr">
        <is>
          <t>PCA (F)</t>
        </is>
      </c>
      <c r="C3" s="14" t="inlineStr">
        <is>
          <t>PLS</t>
        </is>
      </c>
      <c r="D3" s="14" t="inlineStr">
        <is>
          <t>Árvores</t>
        </is>
      </c>
      <c r="E3" s="14" t="inlineStr">
        <is>
          <t>Brito e Assaf</t>
        </is>
      </c>
      <c r="F3" s="14" t="inlineStr">
        <is>
          <t>PLS menos F</t>
        </is>
      </c>
    </row>
    <row r="4" ht="15" customHeight="1" s="12">
      <c r="A4" s="15" t="inlineStr">
        <is>
          <t>Atribuição 1</t>
        </is>
      </c>
      <c r="B4" s="16" t="n">
        <v>0.6266128172318191</v>
      </c>
      <c r="C4" s="16" t="n">
        <v>0.724754745148219</v>
      </c>
      <c r="D4" s="16" t="n">
        <v>0.751919385796545</v>
      </c>
      <c r="E4" s="16" t="n">
        <v>0.667237912439448</v>
      </c>
      <c r="F4" s="17">
        <f>C4-B4</f>
        <v/>
      </c>
    </row>
    <row r="5" ht="15" customHeight="1" s="12">
      <c r="A5" s="15" t="inlineStr">
        <is>
          <t>Atribuição 2</t>
        </is>
      </c>
      <c r="B5" s="16" t="n">
        <v>0.626995551899583</v>
      </c>
      <c r="C5" s="16" t="n">
        <v>0.720032446759894</v>
      </c>
      <c r="D5" s="16" t="n">
        <v>0.769741301831033</v>
      </c>
      <c r="E5" s="16" t="n">
        <v>0.667915790756482</v>
      </c>
      <c r="F5" s="17">
        <f>C5-B5</f>
        <v/>
      </c>
    </row>
    <row r="6" ht="15" customHeight="1" s="12">
      <c r="A6" s="15" t="inlineStr">
        <is>
          <t>Atribuição 3</t>
        </is>
      </c>
      <c r="B6" s="16" t="n">
        <v>0.625723577978856</v>
      </c>
      <c r="C6" s="16" t="n">
        <v>0.73743830545654</v>
      </c>
      <c r="D6" s="16" t="n">
        <v>0.765351278067209</v>
      </c>
      <c r="E6" s="16" t="n">
        <v>0.667106525911708</v>
      </c>
      <c r="F6" s="17">
        <f>C6-B6</f>
        <v/>
      </c>
    </row>
    <row r="7" ht="15" customHeight="1" s="12">
      <c r="A7" s="15" t="inlineStr">
        <is>
          <t>Atribuição 4</t>
        </is>
      </c>
      <c r="B7" s="16" t="n">
        <v>0.626254836547543</v>
      </c>
      <c r="C7" s="16" t="n">
        <v>0.725828687201048</v>
      </c>
      <c r="D7" s="16" t="n">
        <v>0.765650230021631</v>
      </c>
      <c r="E7" s="16" t="n">
        <v>0.677398470584651</v>
      </c>
      <c r="F7" s="17">
        <f>C7-B7</f>
        <v/>
      </c>
    </row>
    <row r="8" ht="15" customHeight="1" s="12">
      <c r="A8" s="15" t="inlineStr">
        <is>
          <t>Atribuição 5</t>
        </is>
      </c>
      <c r="B8" s="16" t="n">
        <v>0.6276353471650979</v>
      </c>
      <c r="C8" s="16" t="n">
        <v>0.723438975718246</v>
      </c>
      <c r="D8" s="16" t="n">
        <v>0.751772766048198</v>
      </c>
      <c r="E8" s="16" t="n">
        <v>0.665815510465223</v>
      </c>
      <c r="F8" s="17">
        <f>C8-B8</f>
        <v/>
      </c>
    </row>
    <row r="9" ht="15" customHeight="1" s="12">
      <c r="A9" s="15" t="inlineStr">
        <is>
          <t>Atribuição 6</t>
        </is>
      </c>
      <c r="B9" s="16" t="n">
        <v>0.6266623251987939</v>
      </c>
      <c r="C9" s="16" t="n">
        <v>0.723795052249947</v>
      </c>
      <c r="D9" s="16" t="n">
        <v>0.745784206196874</v>
      </c>
      <c r="E9" s="16" t="n">
        <v>0.669239176796758</v>
      </c>
      <c r="F9" s="17">
        <f>C9-B9</f>
        <v/>
      </c>
    </row>
    <row r="10" ht="15" customHeight="1" s="12">
      <c r="A10" s="15" t="inlineStr">
        <is>
          <t>Atribuição 7</t>
        </is>
      </c>
      <c r="B10" s="16" t="n">
        <v>0.626835603083204</v>
      </c>
      <c r="C10" s="16" t="n">
        <v>0.729101925479085</v>
      </c>
      <c r="D10" s="16" t="n">
        <v>0.768146574048685</v>
      </c>
      <c r="E10" s="16" t="n">
        <v>0.670943393352223</v>
      </c>
      <c r="F10" s="17">
        <f>C10-B10</f>
        <v/>
      </c>
    </row>
    <row r="11" ht="15" customHeight="1" s="12">
      <c r="A11" s="15" t="inlineStr">
        <is>
          <t>Atribuição 8</t>
        </is>
      </c>
      <c r="B11" s="16" t="n">
        <v>0.626650900283338</v>
      </c>
      <c r="C11" s="16" t="n">
        <v>0.7338584986137771</v>
      </c>
      <c r="D11" s="16" t="n">
        <v>0.737755346860433</v>
      </c>
      <c r="E11" s="16" t="n">
        <v>0.663745696615178</v>
      </c>
      <c r="F11" s="17">
        <f>C11-B11</f>
        <v/>
      </c>
    </row>
    <row r="12" ht="15" customHeight="1" s="12">
      <c r="A12" s="15" t="inlineStr">
        <is>
          <t>Atribuição 9</t>
        </is>
      </c>
      <c r="B12" s="16" t="n">
        <v>0.628852100661122</v>
      </c>
      <c r="C12" s="16" t="n">
        <v>0.722806797063035</v>
      </c>
      <c r="D12" s="16" t="n">
        <v>0.758155485482741</v>
      </c>
      <c r="E12" s="16" t="n">
        <v>0.653823157541968</v>
      </c>
      <c r="F12" s="17">
        <f>C12-B12</f>
        <v/>
      </c>
    </row>
    <row r="13" ht="15" customHeight="1" s="12">
      <c r="A13" s="15" t="inlineStr">
        <is>
          <t>Atribuição 10</t>
        </is>
      </c>
      <c r="B13" s="16" t="n">
        <v>0.625348459921397</v>
      </c>
      <c r="C13" s="16" t="n">
        <v>0.723608445297505</v>
      </c>
      <c r="D13" s="16" t="n">
        <v>0.757784175730433</v>
      </c>
      <c r="E13" s="16" t="n">
        <v>0.654594339335222</v>
      </c>
      <c r="F13" s="17">
        <f>C13-B13</f>
        <v/>
      </c>
    </row>
    <row r="14" ht="15" customHeight="1" s="12">
      <c r="A14" s="15" t="inlineStr">
        <is>
          <t>Média</t>
        </is>
      </c>
      <c r="B14" s="16">
        <f>AVERAGE(B4:B13)</f>
        <v/>
      </c>
      <c r="C14" s="16">
        <f>AVERAGE(C4:C13)</f>
        <v/>
      </c>
      <c r="D14" s="16">
        <f>AVERAGE(D4:D13)</f>
        <v/>
      </c>
      <c r="E14" s="16">
        <f>AVERAGE(E4:E13)</f>
        <v/>
      </c>
      <c r="F14" s="17">
        <f>AVERAGE(F4:F13)</f>
        <v/>
      </c>
    </row>
    <row r="15" ht="15" customHeight="1" s="12">
      <c r="A15" s="15" t="inlineStr">
        <is>
          <t>Desvio-padrão</t>
        </is>
      </c>
      <c r="B15" s="16">
        <f>STDEV(B4:B13)</f>
        <v/>
      </c>
      <c r="C15" s="16">
        <f>STDEV(C4:C13)</f>
        <v/>
      </c>
      <c r="D15" s="16">
        <f>STDEV(D4:D13)</f>
        <v/>
      </c>
      <c r="E15" s="16">
        <f>STDEV(E4:E13)</f>
        <v/>
      </c>
      <c r="F15" s="17">
        <f>STDEV(F4:F13)</f>
        <v/>
      </c>
    </row>
    <row r="16" ht="15" customHeight="1" s="12">
      <c r="A16" s="15" t="inlineStr">
        <is>
          <t>Mínimo</t>
        </is>
      </c>
      <c r="B16" s="16">
        <f>MIN(B4:B13)</f>
        <v/>
      </c>
      <c r="C16" s="16">
        <f>MIN(C4:C13)</f>
        <v/>
      </c>
      <c r="D16" s="16">
        <f>MIN(D4:D13)</f>
        <v/>
      </c>
      <c r="E16" s="16">
        <f>MIN(E4:E13)</f>
        <v/>
      </c>
      <c r="F16" s="17">
        <f>MIN(F4:F13)</f>
        <v/>
      </c>
    </row>
    <row r="18" ht="15" customHeight="1" s="12">
      <c r="A18" s="18" t="inlineStr">
        <is>
          <t>Fonte: 01. A atribuição 1 é a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9"/>
  </cols>
  <sheetData>
    <row r="1" ht="15" customHeight="1" s="12">
      <c r="A1" s="13" t="inlineStr">
        <is>
          <t>Tabela 14 – Diferenças em relação ao escore sintético, subconjuntos puros</t>
        </is>
      </c>
    </row>
    <row r="3" ht="30" customHeight="1" s="12">
      <c r="A3" s="14" t="inlineStr">
        <is>
          <t>Tipo de entrada</t>
        </is>
      </c>
      <c r="B3" s="14" t="inlineStr">
        <is>
          <t>Entradas</t>
        </is>
      </c>
      <c r="C3" s="14" t="inlineStr">
        <is>
          <t>Escore F</t>
        </is>
      </c>
      <c r="D3" s="14" t="inlineStr">
        <is>
          <t>Cobertura menos F</t>
        </is>
      </c>
      <c r="E3" s="14" t="inlineStr">
        <is>
          <t>IC inferior</t>
        </is>
      </c>
      <c r="F3" s="14" t="inlineStr">
        <is>
          <t>IC superior</t>
        </is>
      </c>
      <c r="G3" s="14" t="inlineStr">
        <is>
          <t>PLS menos F</t>
        </is>
      </c>
      <c r="H3" s="14" t="inlineStr">
        <is>
          <t>IC inferior</t>
        </is>
      </c>
      <c r="I3" s="14" t="inlineStr">
        <is>
          <t>IC superior</t>
        </is>
      </c>
    </row>
    <row r="4" ht="15" customHeight="1" s="12">
      <c r="A4" s="15" t="inlineStr">
        <is>
          <t>Prejuízo operacional, um ano</t>
        </is>
      </c>
      <c r="B4" s="19" t="n">
        <v>66</v>
      </c>
      <c r="C4" s="16" t="n">
        <v>0.648909969616525</v>
      </c>
      <c r="D4" s="17" t="n">
        <v>0.324077511896585</v>
      </c>
      <c r="E4" s="17" t="n">
        <v>0.244100108700858</v>
      </c>
      <c r="F4" s="17" t="n">
        <v>0.411347735813248</v>
      </c>
      <c r="G4" s="17" t="n">
        <v>0.290647953911176</v>
      </c>
      <c r="H4" s="17" t="n">
        <v>0.21692673915229</v>
      </c>
      <c r="I4" s="17" t="n">
        <v>0.371379769878476</v>
      </c>
    </row>
    <row r="5" ht="15" customHeight="1" s="12">
      <c r="A5" s="15" t="inlineStr">
        <is>
          <t>Patrimônio negativo, um ano</t>
        </is>
      </c>
      <c r="B5" s="19" t="n">
        <v>51</v>
      </c>
      <c r="C5" s="16" t="n">
        <v>0.816061854596852</v>
      </c>
      <c r="D5" s="17" t="n">
        <v>-0.0295679227378106</v>
      </c>
      <c r="E5" s="17" t="n">
        <v>-0.0931150860370642</v>
      </c>
      <c r="F5" s="17" t="n">
        <v>0.0378691176104551</v>
      </c>
      <c r="G5" s="17" t="n">
        <v>-0.0658906813695459</v>
      </c>
      <c r="H5" s="17" t="n">
        <v>-0.128871306387324</v>
      </c>
      <c r="I5" s="17" t="n">
        <v>-0.00336011975959002</v>
      </c>
    </row>
    <row r="6" ht="15" customHeight="1" s="12">
      <c r="A6" s="15" t="inlineStr">
        <is>
          <t>Recuperação judicial, um ano</t>
        </is>
      </c>
      <c r="B6" s="19" t="n">
        <v>11</v>
      </c>
      <c r="C6" s="16" t="n">
        <v>0.8277609668257</v>
      </c>
      <c r="D6" s="17" t="n">
        <v>0.0115748046113576</v>
      </c>
      <c r="E6" s="17" t="n">
        <v>-0.0966075553574374</v>
      </c>
      <c r="F6" s="17" t="n">
        <v>0.116685770171869</v>
      </c>
      <c r="G6" s="17" t="n">
        <v>0.0627657007072976</v>
      </c>
      <c r="H6" s="17" t="n">
        <v>-0.000664281309838832</v>
      </c>
      <c r="I6" s="17" t="n">
        <v>0.136326109061503</v>
      </c>
    </row>
    <row r="7" ht="15" customHeight="1" s="12">
      <c r="A7" s="15" t="inlineStr">
        <is>
          <t>Prejuízo operacional, dois anos</t>
        </is>
      </c>
      <c r="B7" s="19" t="n">
        <v>52</v>
      </c>
      <c r="C7" s="16" t="n">
        <v>0.377496124317142</v>
      </c>
      <c r="D7" s="17" t="n">
        <v>0.144636793149269</v>
      </c>
      <c r="E7" s="17" t="n">
        <v>0.0572070649833604</v>
      </c>
      <c r="F7" s="17" t="n">
        <v>0.23266212297695</v>
      </c>
      <c r="G7" s="17" t="n">
        <v>0.275247305477632</v>
      </c>
      <c r="H7" s="17" t="n">
        <v>0.195950480463531</v>
      </c>
      <c r="I7" s="17" t="n">
        <v>0.353055807344646</v>
      </c>
    </row>
    <row r="8" ht="15" customHeight="1" s="12">
      <c r="A8" s="15" t="inlineStr">
        <is>
          <t>Patrimônio negativo, dois anos</t>
        </is>
      </c>
      <c r="B8" s="19" t="n">
        <v>46</v>
      </c>
      <c r="C8" s="16" t="n">
        <v>0.795590628390219</v>
      </c>
      <c r="D8" s="17" t="n">
        <v>-0.00482193524159225</v>
      </c>
      <c r="E8" s="17" t="n">
        <v>-0.0689285262538219</v>
      </c>
      <c r="F8" s="17" t="n">
        <v>0.0631841407302173</v>
      </c>
      <c r="G8" s="17" t="n">
        <v>-0.0824918634732538</v>
      </c>
      <c r="H8" s="17" t="n">
        <v>-0.139293051181214</v>
      </c>
      <c r="I8" s="17" t="n">
        <v>-0.0231236879844152</v>
      </c>
    </row>
    <row r="9" ht="15" customHeight="1" s="12">
      <c r="A9" s="15" t="inlineStr">
        <is>
          <t>Recuperação judicial, dois anos</t>
        </is>
      </c>
      <c r="B9" s="19" t="n">
        <v>9</v>
      </c>
      <c r="C9" s="16" t="n">
        <v>0.800890381744508</v>
      </c>
      <c r="D9" s="17" t="n">
        <v>-0.0875986351034336</v>
      </c>
      <c r="E9" s="17" t="n">
        <v>-0.240416027723596</v>
      </c>
      <c r="F9" s="17" t="n">
        <v>0.069014733739918</v>
      </c>
      <c r="G9" s="17" t="n">
        <v>0.0533162721262529</v>
      </c>
      <c r="H9" s="17" t="n">
        <v>-0.0261072601981677</v>
      </c>
      <c r="I9" s="17" t="n">
        <v>0.147880759690188</v>
      </c>
    </row>
    <row r="11" ht="15" customHeight="1" s="12">
      <c r="A11" s="18" t="inlineStr">
        <is>
          <t>Fonte: 13. Cada entrada satisfaz um único critério. Bootstrap agrupado por firma, sem correção por multiplicidade.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1" min="1" max="1"/>
    <col width="15" customWidth="1" style="11" min="2" max="4"/>
  </cols>
  <sheetData>
    <row r="1" ht="15" customHeight="1" s="12">
      <c r="A1" s="13" t="inlineStr">
        <is>
          <t>Tabela 15 – Perfil das firmas no momento da previsão, por rota de deterioração</t>
        </is>
      </c>
    </row>
    <row r="3" ht="30" customHeight="1" s="12">
      <c r="A3" s="14" t="inlineStr">
        <is>
          <t>Mediana no exercício t</t>
        </is>
      </c>
      <c r="B3" s="14" t="inlineStr">
        <is>
          <t>Entram por prejuízo operacional</t>
        </is>
      </c>
      <c r="C3" s="14" t="inlineStr">
        <is>
          <t>Entram por patrimônio negativo</t>
        </is>
      </c>
      <c r="D3" s="14" t="inlineStr">
        <is>
          <t>Não entram</t>
        </is>
      </c>
    </row>
    <row r="4" ht="15" customHeight="1" s="12">
      <c r="A4" s="15" t="inlineStr">
        <is>
          <t>Alavancagem</t>
        </is>
      </c>
      <c r="B4" s="20" t="n">
        <v>0.213065036228923</v>
      </c>
      <c r="C4" s="20" t="n">
        <v>0.425126544113893</v>
      </c>
      <c r="D4" s="20" t="n">
        <v>0.326386397196832</v>
      </c>
    </row>
    <row r="5" ht="15" customHeight="1" s="12">
      <c r="A5" s="15" t="inlineStr">
        <is>
          <t>Liquidez corrente</t>
        </is>
      </c>
      <c r="B5" s="20" t="n">
        <v>1.99804941015869</v>
      </c>
      <c r="C5" s="20" t="n">
        <v>0.943732022580715</v>
      </c>
      <c r="D5" s="20" t="n">
        <v>1.43043910867033</v>
      </c>
    </row>
    <row r="6" ht="15" customHeight="1" s="12">
      <c r="A6" s="15" t="inlineStr">
        <is>
          <t>Capital de giro sobre ativo</t>
        </is>
      </c>
      <c r="B6" s="20" t="n">
        <v>0.176364759295332</v>
      </c>
      <c r="C6" s="20" t="n">
        <v>-0.024871125548301</v>
      </c>
      <c r="D6" s="20" t="n">
        <v>0.084351266928543</v>
      </c>
    </row>
    <row r="7" ht="15" customHeight="1" s="12">
      <c r="A7" s="15" t="inlineStr">
        <is>
          <t>Cobertura de juros</t>
        </is>
      </c>
      <c r="B7" s="20" t="n">
        <v>1.41109589230522</v>
      </c>
      <c r="C7" s="20" t="n">
        <v>0.37655960009212</v>
      </c>
      <c r="D7" s="20" t="n">
        <v>1.50992137747865</v>
      </c>
    </row>
    <row r="8" ht="15" customHeight="1" s="12">
      <c r="A8" s="15" t="inlineStr">
        <is>
          <t>Retorno sobre ativos</t>
        </is>
      </c>
      <c r="B8" s="20" t="n">
        <v>0.0163713580410209</v>
      </c>
      <c r="C8" s="20" t="n">
        <v>-0.0336808481906868</v>
      </c>
      <c r="D8" s="20" t="n">
        <v>0.0396492206621962</v>
      </c>
    </row>
    <row r="9" ht="15" customHeight="1" s="12">
      <c r="A9" s="15" t="inlineStr">
        <is>
          <t>Margem EBITDA</t>
        </is>
      </c>
      <c r="B9" s="20" t="n">
        <v>0.132044750505732</v>
      </c>
      <c r="C9" s="20" t="n">
        <v>0.117722059244612</v>
      </c>
      <c r="D9" s="20" t="n">
        <v>0.211605259184521</v>
      </c>
    </row>
    <row r="10" ht="15" customHeight="1" s="12">
      <c r="A10" s="15" t="inlineStr">
        <is>
          <t>Logaritmo do ativo real</t>
        </is>
      </c>
      <c r="B10" s="20" t="n">
        <v>21.5013478037086</v>
      </c>
      <c r="C10" s="20" t="n">
        <v>21.4529774714187</v>
      </c>
      <c r="D10" s="20" t="n">
        <v>22.1714420501993</v>
      </c>
    </row>
    <row r="11" ht="15" customHeight="1" s="12">
      <c r="A11" s="15" t="inlineStr">
        <is>
          <t>Observações</t>
        </is>
      </c>
      <c r="B11" s="20" t="n">
        <v>52</v>
      </c>
      <c r="C11" s="20" t="n">
        <v>65</v>
      </c>
      <c r="D11" s="20" t="n">
        <v>4193</v>
      </c>
    </row>
    <row r="13" ht="15" customHeight="1" s="12">
      <c r="A13" s="18" t="inlineStr">
        <is>
          <t>Fonte: 13. Horizonte de dois anos, sobre a amostra de risco.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28" customWidth="1" style="12" min="2" max="2"/>
  </cols>
  <sheetData>
    <row r="1">
      <c r="A1" s="23" t="inlineStr">
        <is>
          <t>Tabela 17 (revisada) – Métricas de probabilidade e desempenho operacional, calibração sobre o posto</t>
        </is>
      </c>
    </row>
    <row r="2">
      <c r="A2" s="23" t="inlineStr">
        <is>
          <t>Horizonte</t>
        </is>
      </c>
      <c r="B2" s="23" t="inlineStr">
        <is>
          <t>Modelo</t>
        </is>
      </c>
      <c r="C2" s="23" t="inlineStr">
        <is>
          <t>AUC precisão-revocação</t>
        </is>
      </c>
      <c r="D2" s="23" t="inlineStr">
        <is>
          <t>Brier</t>
        </is>
      </c>
      <c r="E2" s="23" t="inlineStr">
        <is>
          <t>Inclinação</t>
        </is>
      </c>
      <c r="F2" s="23" t="inlineStr">
        <is>
          <t>Intercepto</t>
        </is>
      </c>
      <c r="G2" s="23" t="inlineStr">
        <is>
          <t>Sensibilidade</t>
        </is>
      </c>
      <c r="H2" s="23" t="inlineStr">
        <is>
          <t>Especificidade</t>
        </is>
      </c>
      <c r="I2" s="23" t="inlineStr">
        <is>
          <t>VPP</t>
        </is>
      </c>
      <c r="J2" s="23" t="inlineStr">
        <is>
          <t>VPN</t>
        </is>
      </c>
      <c r="K2" s="23" t="inlineStr">
        <is>
          <t>Firma-anos sinalizados</t>
        </is>
      </c>
      <c r="L2" s="23" t="inlineStr">
        <is>
          <t>Decisão líquida 5:1</t>
        </is>
      </c>
      <c r="M2" s="23" t="inlineStr">
        <is>
          <t>Decisão líquida 10:1</t>
        </is>
      </c>
      <c r="N2" s="23" t="inlineStr">
        <is>
          <t>Decisão líquida 20:1</t>
        </is>
      </c>
    </row>
    <row r="3">
      <c r="A3" t="inlineStr">
        <is>
          <t>1 ano</t>
        </is>
      </c>
      <c r="B3" t="inlineStr">
        <is>
          <t>Árvores impulsionadas</t>
        </is>
      </c>
      <c r="C3" s="24" t="n">
        <v>0.2295344679757571</v>
      </c>
      <c r="D3" s="24" t="n">
        <v>0.02506581222288731</v>
      </c>
      <c r="E3" s="24" t="n">
        <v>1.086640234786473</v>
      </c>
      <c r="F3" s="24" t="n">
        <v>-0.02831372516967114</v>
      </c>
      <c r="G3" s="24" t="n">
        <v>0.785234899328859</v>
      </c>
      <c r="H3" s="24" t="n">
        <v>0.8462323871758219</v>
      </c>
      <c r="I3" s="24" t="n">
        <v>0.1344827586206896</v>
      </c>
      <c r="J3" s="24" t="n">
        <v>0.9923371647509579</v>
      </c>
      <c r="K3" s="24" t="n">
        <v>0.1724137931034483</v>
      </c>
      <c r="L3" s="24" t="n">
        <v>0.006024573919936584</v>
      </c>
      <c r="M3" s="24" t="n">
        <v>0.01080063416567578</v>
      </c>
      <c r="N3" s="24" t="n">
        <v>0.01603250099088387</v>
      </c>
    </row>
    <row r="4">
      <c r="A4" t="inlineStr">
        <is>
          <t>1 ano</t>
        </is>
      </c>
      <c r="B4" t="inlineStr">
        <is>
          <t>Cobertura de juros</t>
        </is>
      </c>
      <c r="C4" s="24" t="n">
        <v>0.1844374990629637</v>
      </c>
      <c r="D4" s="24" t="n">
        <v>0.02561585837572898</v>
      </c>
      <c r="E4" s="24" t="n">
        <v>0.9879690002439582</v>
      </c>
      <c r="F4" s="24" t="n">
        <v>-0.004322604940026632</v>
      </c>
      <c r="G4" s="24" t="n">
        <v>0.785234899328859</v>
      </c>
      <c r="H4" s="24" t="n">
        <v>0.8311210945476822</v>
      </c>
      <c r="I4" s="24" t="n">
        <v>0.1239406779661017</v>
      </c>
      <c r="J4" s="24" t="n">
        <v>0.9921989273525109</v>
      </c>
      <c r="K4" s="24" t="n">
        <v>0.1870788743559255</v>
      </c>
      <c r="L4" s="24" t="n">
        <v>0.002695204122076893</v>
      </c>
      <c r="M4" s="24" t="n">
        <v>0.009274673008323424</v>
      </c>
      <c r="N4" s="24" t="n">
        <v>0.01489298454221165</v>
      </c>
    </row>
    <row r="5">
      <c r="A5" t="inlineStr">
        <is>
          <t>1 ano</t>
        </is>
      </c>
      <c r="B5" t="inlineStr">
        <is>
          <t>Retorno sobre ativos</t>
        </is>
      </c>
      <c r="C5" s="24" t="n">
        <v>0.1753661270949595</v>
      </c>
      <c r="D5" s="24" t="n">
        <v>0.02597582725174593</v>
      </c>
      <c r="E5" s="24" t="n">
        <v>0.9931475518719396</v>
      </c>
      <c r="F5" s="24" t="n">
        <v>-0.004774228210969339</v>
      </c>
      <c r="G5" s="24" t="n">
        <v>0.7919463087248322</v>
      </c>
      <c r="H5" s="24" t="n">
        <v>0.8427608740044925</v>
      </c>
      <c r="I5" s="24" t="n">
        <v>0.1328828828828829</v>
      </c>
      <c r="J5" s="24" t="n">
        <v>0.9925444925444925</v>
      </c>
      <c r="K5" s="24" t="n">
        <v>0.1759809750297265</v>
      </c>
      <c r="L5" s="24" t="n">
        <v>0.002695204122076893</v>
      </c>
      <c r="M5" s="24" t="n">
        <v>0.008997225525168448</v>
      </c>
      <c r="N5" s="24" t="n">
        <v>0.01546769718588981</v>
      </c>
    </row>
    <row r="6">
      <c r="A6" t="inlineStr">
        <is>
          <t>1 ano</t>
        </is>
      </c>
      <c r="B6" t="inlineStr">
        <is>
          <t>Mínimos quadrados parciais</t>
        </is>
      </c>
      <c r="C6" s="24" t="n">
        <v>0.1719750799692672</v>
      </c>
      <c r="D6" s="24" t="n">
        <v>0.02603112214350956</v>
      </c>
      <c r="E6" s="24" t="n">
        <v>1.07206022415256</v>
      </c>
      <c r="F6" s="24" t="n">
        <v>0.007250948427309378</v>
      </c>
      <c r="G6" s="24" t="n">
        <v>0.7919463087248322</v>
      </c>
      <c r="H6" s="24" t="n">
        <v>0.8100878088625689</v>
      </c>
      <c r="I6" s="24" t="n">
        <v>0.1125954198473282</v>
      </c>
      <c r="J6" s="24" t="n">
        <v>0.9922461230615308</v>
      </c>
      <c r="K6" s="24" t="n">
        <v>0.2076892588188664</v>
      </c>
      <c r="L6" s="24" t="n">
        <v>0.002338485929449069</v>
      </c>
      <c r="M6" s="24" t="n">
        <v>0.008085612366230677</v>
      </c>
      <c r="N6" s="24" t="n">
        <v>0.01439754260800634</v>
      </c>
    </row>
    <row r="7">
      <c r="A7" t="inlineStr">
        <is>
          <t>1 ano</t>
        </is>
      </c>
      <c r="B7" t="inlineStr">
        <is>
          <t>Componentes principais (F)</t>
        </is>
      </c>
      <c r="C7" s="24" t="n">
        <v>0.1112965384710407</v>
      </c>
      <c r="D7" s="24" t="n">
        <v>0.02752650275823896</v>
      </c>
      <c r="E7" s="24" t="n">
        <v>0.9913595502153402</v>
      </c>
      <c r="F7" s="24" t="n">
        <v>-0.005980251387520434</v>
      </c>
      <c r="G7" s="24" t="n">
        <v>0.7986577181208053</v>
      </c>
      <c r="H7" s="24" t="n">
        <v>0.5699407800694303</v>
      </c>
      <c r="I7" s="24" t="n">
        <v>0.05348314606741573</v>
      </c>
      <c r="J7" s="24" t="n">
        <v>0.989365473236441</v>
      </c>
      <c r="K7" s="24" t="n">
        <v>0.4409433214427269</v>
      </c>
      <c r="L7" s="24" t="n">
        <v>0</v>
      </c>
      <c r="M7" s="24" t="n">
        <v>0.003032104637336504</v>
      </c>
      <c r="N7" s="24" t="n">
        <v>0.008531510107015458</v>
      </c>
    </row>
    <row r="8">
      <c r="A8" t="inlineStr">
        <is>
          <t>1 ano</t>
        </is>
      </c>
      <c r="B8" t="inlineStr">
        <is>
          <t>Brito e Assaf Neto</t>
        </is>
      </c>
      <c r="C8" s="24" t="n">
        <v>0.09476579481990252</v>
      </c>
      <c r="D8" s="24" t="n">
        <v>0.02777774711172786</v>
      </c>
      <c r="E8" s="24" t="n">
        <v>1.075469920058045</v>
      </c>
      <c r="F8" s="24" t="n">
        <v>0.01462486734399807</v>
      </c>
      <c r="G8" s="24" t="n">
        <v>0.8187919463087249</v>
      </c>
      <c r="H8" s="24" t="n">
        <v>0.4617112517868083</v>
      </c>
      <c r="I8" s="24" t="n">
        <v>0.04423495286439449</v>
      </c>
      <c r="J8" s="24" t="n">
        <v>0.9881993006993007</v>
      </c>
      <c r="K8" s="24" t="n">
        <v>0.5465715418152992</v>
      </c>
      <c r="L8" s="24" t="n">
        <v>0</v>
      </c>
      <c r="M8" s="24" t="n">
        <v>0.001149425287356322</v>
      </c>
      <c r="N8" s="24" t="n">
        <v>0.009373761395164486</v>
      </c>
    </row>
    <row r="9">
      <c r="A9" t="inlineStr">
        <is>
          <t>1 ano</t>
        </is>
      </c>
      <c r="B9" t="inlineStr">
        <is>
          <t>Referência sem informação</t>
        </is>
      </c>
      <c r="C9" s="24" t="n">
        <v>0.02952833927863655</v>
      </c>
      <c r="D9" s="24" t="n">
        <v>0.02865641645808228</v>
      </c>
    </row>
    <row r="10">
      <c r="A10" t="inlineStr">
        <is>
          <t>2 anos</t>
        </is>
      </c>
      <c r="B10" t="inlineStr">
        <is>
          <t>Árvores impulsionadas</t>
        </is>
      </c>
      <c r="C10" s="24" t="n">
        <v>0.08521677951450135</v>
      </c>
      <c r="D10" s="24" t="n">
        <v>0.02766025850960952</v>
      </c>
      <c r="E10" s="24" t="n">
        <v>1.158922573673336</v>
      </c>
      <c r="F10" s="24" t="n">
        <v>-0.06657935493350987</v>
      </c>
      <c r="G10" s="24" t="n">
        <v>0.8333333333333334</v>
      </c>
      <c r="H10" s="24" t="n">
        <v>0.4992802303262956</v>
      </c>
      <c r="I10" s="24" t="n">
        <v>0.0479014598540146</v>
      </c>
      <c r="J10" s="24" t="n">
        <v>0.9900095147478591</v>
      </c>
      <c r="K10" s="24" t="n">
        <v>0.5104797391709361</v>
      </c>
      <c r="L10" s="24" t="n">
        <v>0</v>
      </c>
      <c r="M10" s="24" t="n">
        <v>0.0003493246390312063</v>
      </c>
      <c r="N10" s="24" t="n">
        <v>0.00716115510013973</v>
      </c>
    </row>
    <row r="11">
      <c r="A11" t="inlineStr">
        <is>
          <t>2 anos</t>
        </is>
      </c>
      <c r="B11" t="inlineStr">
        <is>
          <t>Cobertura de juros</t>
        </is>
      </c>
      <c r="C11" s="24" t="n">
        <v>0.05062672744829048</v>
      </c>
      <c r="D11" s="24" t="n">
        <v>0.02815802062181195</v>
      </c>
      <c r="E11" s="24" t="n">
        <v>0.9483481095724542</v>
      </c>
      <c r="F11" s="24" t="n">
        <v>-0.004682623198508686</v>
      </c>
      <c r="G11" s="24" t="n">
        <v>0.8015873015873016</v>
      </c>
      <c r="H11" s="24" t="n">
        <v>0.4517754318618042</v>
      </c>
      <c r="I11" s="24" t="n">
        <v>0.04233025984911987</v>
      </c>
      <c r="J11" s="24" t="n">
        <v>0.9868972746331237</v>
      </c>
      <c r="K11" s="24" t="n">
        <v>0.5556590591523055</v>
      </c>
      <c r="L11" s="24" t="n">
        <v>0</v>
      </c>
      <c r="M11" s="24" t="n">
        <v>0</v>
      </c>
      <c r="N11" s="24" t="n">
        <v>0.003446669771774569</v>
      </c>
    </row>
    <row r="12">
      <c r="A12" t="inlineStr">
        <is>
          <t>2 anos</t>
        </is>
      </c>
      <c r="B12" t="inlineStr">
        <is>
          <t>Retorno sobre ativos</t>
        </is>
      </c>
      <c r="C12" s="24" t="n">
        <v>0.0657719994412717</v>
      </c>
      <c r="D12" s="24" t="n">
        <v>0.02788264124527806</v>
      </c>
      <c r="E12" s="24" t="n">
        <v>0.9751588747917186</v>
      </c>
      <c r="F12" s="24" t="n">
        <v>-0.002241119276739794</v>
      </c>
      <c r="G12" s="24" t="n">
        <v>0.8015873015873016</v>
      </c>
      <c r="H12" s="24" t="n">
        <v>0.5890115163147792</v>
      </c>
      <c r="I12" s="24" t="n">
        <v>0.05567805953693495</v>
      </c>
      <c r="J12" s="24" t="n">
        <v>0.9899193548387096</v>
      </c>
      <c r="K12" s="24" t="n">
        <v>0.4224499301350722</v>
      </c>
      <c r="L12" s="24" t="n">
        <v>0</v>
      </c>
      <c r="M12" s="24" t="n">
        <v>-0.0006054960409874245</v>
      </c>
      <c r="N12" s="24" t="n">
        <v>0.004413134606427572</v>
      </c>
    </row>
    <row r="13">
      <c r="A13" t="inlineStr">
        <is>
          <t>2 anos</t>
        </is>
      </c>
      <c r="B13" t="inlineStr">
        <is>
          <t>Mínimos quadrados parciais</t>
        </is>
      </c>
      <c r="C13" s="24" t="n">
        <v>0.0644946967358081</v>
      </c>
      <c r="D13" s="24" t="n">
        <v>0.02788026651722164</v>
      </c>
      <c r="E13" s="24" t="n">
        <v>1.075412988199589</v>
      </c>
      <c r="F13" s="24" t="n">
        <v>-0.008215222846687494</v>
      </c>
      <c r="G13" s="24" t="n">
        <v>0.7936507936507936</v>
      </c>
      <c r="H13" s="24" t="n">
        <v>0.5328694817658349</v>
      </c>
      <c r="I13" s="24" t="n">
        <v>0.04885197850512946</v>
      </c>
      <c r="J13" s="24" t="n">
        <v>0.9884290164663997</v>
      </c>
      <c r="K13" s="24" t="n">
        <v>0.4767116907312529</v>
      </c>
      <c r="L13" s="24" t="n">
        <v>0</v>
      </c>
      <c r="M13" s="24" t="n">
        <v>-0.000232883092687471</v>
      </c>
      <c r="N13" s="24" t="n">
        <v>0.006590591523055425</v>
      </c>
    </row>
    <row r="14">
      <c r="A14" t="inlineStr">
        <is>
          <t>2 anos</t>
        </is>
      </c>
      <c r="B14" t="inlineStr">
        <is>
          <t>Componentes principais (F)</t>
        </is>
      </c>
      <c r="C14" s="24" t="n">
        <v>0.05391257689226329</v>
      </c>
      <c r="D14" s="24" t="n">
        <v>0.02829360358512675</v>
      </c>
      <c r="E14" s="24" t="n">
        <v>0.9153978808503124</v>
      </c>
      <c r="F14" s="24" t="n">
        <v>-0.001851267795798534</v>
      </c>
      <c r="G14" s="24" t="n">
        <v>0.7936507936507936</v>
      </c>
      <c r="H14" s="24" t="n">
        <v>0.2881477927063339</v>
      </c>
      <c r="I14" s="24" t="n">
        <v>0.032605151613955</v>
      </c>
      <c r="J14" s="24" t="n">
        <v>0.9788101059494703</v>
      </c>
      <c r="K14" s="24" t="n">
        <v>0.7142524452724732</v>
      </c>
      <c r="L14" s="24" t="n">
        <v>0</v>
      </c>
      <c r="M14" s="24" t="n">
        <v>0</v>
      </c>
      <c r="N14" s="24" t="n">
        <v>0.003435025617140196</v>
      </c>
    </row>
    <row r="15">
      <c r="A15" t="inlineStr">
        <is>
          <t>2 anos</t>
        </is>
      </c>
      <c r="B15" t="inlineStr">
        <is>
          <t>Brito e Assaf Neto</t>
        </is>
      </c>
      <c r="C15" s="24" t="n">
        <v>0.06037014219553517</v>
      </c>
      <c r="D15" s="24" t="n">
        <v>0.02812598530144687</v>
      </c>
      <c r="E15" s="24" t="n">
        <v>1.260703044771871</v>
      </c>
      <c r="F15" s="24" t="n">
        <v>-0.008544417368427756</v>
      </c>
      <c r="G15" s="24" t="n">
        <v>0.8492063492063492</v>
      </c>
      <c r="H15" s="24" t="n">
        <v>0.2922264875239923</v>
      </c>
      <c r="I15" s="24" t="n">
        <v>0.03500163559044815</v>
      </c>
      <c r="J15" s="24" t="n">
        <v>0.98464025869038</v>
      </c>
      <c r="K15" s="24" t="n">
        <v>0.7119236143455985</v>
      </c>
      <c r="L15" s="24" t="n">
        <v>0</v>
      </c>
      <c r="M15" s="24" t="n">
        <v>0</v>
      </c>
      <c r="N15" s="24" t="n">
        <v>0.004843968327899395</v>
      </c>
    </row>
    <row r="16">
      <c r="A16" t="inlineStr">
        <is>
          <t>2 anos</t>
        </is>
      </c>
      <c r="B16" t="inlineStr">
        <is>
          <t>Referência sem informação</t>
        </is>
      </c>
      <c r="C16" s="24" t="n">
        <v>0.02934326967862133</v>
      </c>
      <c r="D16" s="24" t="n">
        <v>0.02848224220318903</v>
      </c>
    </row>
    <row r="17"/>
    <row r="18">
      <c r="A18" t="inlineStr">
        <is>
          <t>Fonte: script 14. Calibração logística sobre o posto do escore na distribuição do treino; limiar que atinge sensibilidade de 80% nas firmas de treino, aplicado às de teste. Decisão líquida por firma-ano; a de não sinalizar ninguém é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Thomas G. M. Lopes</dc:creator>
  <dc:language xmlns:dc="http://purl.org/dc/elements/1.1/">en-US</dc:language>
  <dcterms:created xmlns:dcterms="http://purl.org/dc/terms/" xmlns:xsi="http://www.w3.org/2001/XMLSchema-instance" xsi:type="dcterms:W3CDTF">2026-09-23T18:44:50Z</dcterms:created>
  <dcterms:modified xmlns:dcterms="http://purl.org/dc/terms/" xmlns:xsi="http://www.w3.org/2001/XMLSchema-instance" xsi:type="dcterms:W3CDTF">2026-09-29T03:01:28Z</dcterms:modified>
  <cp:lastModifiedBy>Thomas G. M. Lopes</cp:lastModifiedBy>
  <cp:revision>0</cp:revision>
</cp:coreProperties>
</file>