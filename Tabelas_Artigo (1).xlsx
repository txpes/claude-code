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0_um_ano" sheetId="1" state="visible" r:id="rId3"/>
    <sheet name="T10_dois_anos" sheetId="2" state="visible" r:id="rId4"/>
    <sheet name="T11_temporal" sheetId="3" state="visible" r:id="rId5"/>
    <sheet name="T13_decomposicao" sheetId="4" state="visible" r:id="rId6"/>
    <sheet name="T16_diagnostico" sheetId="5" state="visible" r:id="rId7"/>
    <sheet name="T17_metricas" sheetId="6" state="visible" r:id="rId8"/>
    <sheet name="T18_definicoes" sheetId="7" state="visible" r:id="rId9"/>
    <sheet name="T19_sensibilidade" sheetId="8" state="visible" r:id="rId10"/>
    <sheet name="T20_defasagens" sheetId="9" state="visible" r:id="rId11"/>
    <sheet name="Estabilidade_h1" sheetId="10" state="visible" r:id="rId12"/>
    <sheet name="Estabilidade_h2" sheetId="11" state="visible" r:id="rId13"/>
    <sheet name="T14_puros" sheetId="12" state="visible" r:id="rId14"/>
    <sheet name="T15_perfi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<sst xmlns="http://schemas.openxmlformats.org/spreadsheetml/2006/main" count="209" uniqueCount="126">
  <si>
    <t xml:space="preserve">Tabela 10 – Desempenho fora da amostra, horizonte de um ano</t>
  </si>
  <si>
    <t xml:space="preserve">Modelo</t>
  </si>
  <si>
    <t xml:space="preserve">AUC</t>
  </si>
  <si>
    <t xml:space="preserve">Diferença contra F</t>
  </si>
  <si>
    <t xml:space="preserve">IC 95% inferior</t>
  </si>
  <si>
    <t xml:space="preserve">IC 95% superior</t>
  </si>
  <si>
    <t xml:space="preserve">p bootstrap</t>
  </si>
  <si>
    <t xml:space="preserve">p ajustado</t>
  </si>
  <si>
    <t xml:space="preserve">Componentes principais (F)</t>
  </si>
  <si>
    <t xml:space="preserve">Árvores impulsionadas</t>
  </si>
  <si>
    <t xml:space="preserve">Cobertura de juros</t>
  </si>
  <si>
    <t xml:space="preserve">Mínimos quadrados parciais</t>
  </si>
  <si>
    <t xml:space="preserve">Retorno sobre ativos</t>
  </si>
  <si>
    <t xml:space="preserve">Brito e Assaf Neto</t>
  </si>
  <si>
    <t xml:space="preserve">Liquidez corrente</t>
  </si>
  <si>
    <t xml:space="preserve">Alavancagem</t>
  </si>
  <si>
    <t xml:space="preserve">Fonte: 01 e 02. Validação cruzada agrupada por firma, atribuição de referência. Diferença e p ajustado por fórmula.</t>
  </si>
  <si>
    <t xml:space="preserve">Tabela 10 – Desempenho fora da amostra, horizonte de dois anos</t>
  </si>
  <si>
    <t xml:space="preserve">Tabela 11 – Desempenho sob o esquema temporal</t>
  </si>
  <si>
    <t xml:space="preserve">AUC um ano</t>
  </si>
  <si>
    <t xml:space="preserve">Diferença</t>
  </si>
  <si>
    <t xml:space="preserve">AUC dois anos</t>
  </si>
  <si>
    <t xml:space="preserve">Fonte: 10. Treino com desfechos até 2021 (109 entradas); teste de 2022 a 2025 (40 entradas em um ano, 34 em dois).</t>
  </si>
  <si>
    <t xml:space="preserve">Tabela 13 – Desempenho fora da amostra por tipo de entrada</t>
  </si>
  <si>
    <t xml:space="preserve">Tipo de entrada</t>
  </si>
  <si>
    <t xml:space="preserve">Entradas</t>
  </si>
  <si>
    <t xml:space="preserve">Escore F</t>
  </si>
  <si>
    <t xml:space="preserve">Árvores</t>
  </si>
  <si>
    <t xml:space="preserve">Cobertura</t>
  </si>
  <si>
    <t xml:space="preserve">PLS</t>
  </si>
  <si>
    <t xml:space="preserve">ROA</t>
  </si>
  <si>
    <t xml:space="preserve">Um ano</t>
  </si>
  <si>
    <t xml:space="preserve">Somente por EBITDA negativo</t>
  </si>
  <si>
    <t xml:space="preserve">Patrimônio líquido negativo</t>
  </si>
  <si>
    <t xml:space="preserve">Recuperação judicial</t>
  </si>
  <si>
    <t xml:space="preserve">Todas as entradas</t>
  </si>
  <si>
    <t xml:space="preserve">Dois anos</t>
  </si>
  <si>
    <t xml:space="preserve">Fonte: 09. Médias sobre dez atribuições. Em cada linha, os não eventos são todos os da amostra e os eventos apenas os do tipo indicado.</t>
  </si>
  <si>
    <t xml:space="preserve">Tabela 16 – Poder discriminante, peso e natureza da variação</t>
  </si>
  <si>
    <t xml:space="preserve">Indicador</t>
  </si>
  <si>
    <t xml:space="preserve">KS</t>
  </si>
  <si>
    <t xml:space="preserve">Carga CP1</t>
  </si>
  <si>
    <t xml:space="preserve">Peso PLS</t>
  </si>
  <si>
    <t xml:space="preserve">Variância entre firmas</t>
  </si>
  <si>
    <t xml:space="preserve">COB</t>
  </si>
  <si>
    <t xml:space="preserve">EBITDA</t>
  </si>
  <si>
    <t xml:space="preserve">CG</t>
  </si>
  <si>
    <t xml:space="preserve">LC</t>
  </si>
  <si>
    <t xml:space="preserve">FCO</t>
  </si>
  <si>
    <t xml:space="preserve">CP</t>
  </si>
  <si>
    <t xml:space="preserve">ALV</t>
  </si>
  <si>
    <t xml:space="preserve">Fonte: 11. Estatísticas descritivas estimadas sobre a amostra completa.</t>
  </si>
  <si>
    <t xml:space="preserve">Tabela 17 – Métricas de probabilidade e desempenho operacional</t>
  </si>
  <si>
    <t xml:space="preserve">AUC precisão-revocação</t>
  </si>
  <si>
    <t xml:space="preserve">Brier</t>
  </si>
  <si>
    <t xml:space="preserve">Inclinação</t>
  </si>
  <si>
    <t xml:space="preserve">Firmas sinalizadas</t>
  </si>
  <si>
    <t xml:space="preserve">VPP</t>
  </si>
  <si>
    <t xml:space="preserve">Decisão líquida 10:1</t>
  </si>
  <si>
    <t xml:space="preserve">Referência sem informação</t>
  </si>
  <si>
    <t xml:space="preserve">Fonte: 03. Limiar que atinge sensibilidade de 80% nas firmas de treino, aplicado às de teste.</t>
  </si>
  <si>
    <t xml:space="preserve">Tabela 18 – Definições alternativas do evento</t>
  </si>
  <si>
    <t xml:space="preserve">Definição</t>
  </si>
  <si>
    <t xml:space="preserve">Obs.</t>
  </si>
  <si>
    <t xml:space="preserve">Definição principal</t>
  </si>
  <si>
    <t xml:space="preserve">Sem as entradas exclusivas do critério de EBITDA</t>
  </si>
  <si>
    <t xml:space="preserve">Restritiva: PL negativo ou recuperação judicial</t>
  </si>
  <si>
    <t xml:space="preserve">Fonte: 08. Médias sobre dez atribuições, horizonte de um ano.</t>
  </si>
  <si>
    <t xml:space="preserve">Tabela 19 – Sensibilidade das conclusões principais</t>
  </si>
  <si>
    <t xml:space="preserve">Especificação</t>
  </si>
  <si>
    <t xml:space="preserve">PLS menos F</t>
  </si>
  <si>
    <t xml:space="preserve">Especificação principal</t>
  </si>
  <si>
    <t xml:space="preserve">Excluídas as entradas exclusivamente por recuperação judicial</t>
  </si>
  <si>
    <t xml:space="preserve">Somente a primeira entrada de cada firma</t>
  </si>
  <si>
    <t xml:space="preserve">Saídas associadas a distress tratadas como evento</t>
  </si>
  <si>
    <t xml:space="preserve">Somente firmas com registro ativo ao fim do período</t>
  </si>
  <si>
    <t xml:space="preserve">Fonte: 04, 05 e 07. Horizonte de um ano, atribuição de referência.</t>
  </si>
  <si>
    <t xml:space="preserve">Tabela 20 – Efeito da inclusão de defasagens e variações</t>
  </si>
  <si>
    <t xml:space="preserve">AUC fora da amostra</t>
  </si>
  <si>
    <t xml:space="preserve">Escore sintético em nível</t>
  </si>
  <si>
    <t xml:space="preserve">Escore em nível e defasado</t>
  </si>
  <si>
    <t xml:space="preserve">Cobertura de juros em nível</t>
  </si>
  <si>
    <t xml:space="preserve">Cobertura em nível e defasada</t>
  </si>
  <si>
    <t xml:space="preserve">Escore supervisionado, oito níveis</t>
  </si>
  <si>
    <t xml:space="preserve">Escore supervisionado, oito níveis e oito variações</t>
  </si>
  <si>
    <t xml:space="preserve">Fonte: 05. Amostra de 5046 observações e 149 entradas; probit dentro de cada partição.</t>
  </si>
  <si>
    <t xml:space="preserve">Estabilidade entre dez atribuições, horizonte de um ano</t>
  </si>
  <si>
    <t xml:space="preserve">Atribuição</t>
  </si>
  <si>
    <t xml:space="preserve">PCA (F)</t>
  </si>
  <si>
    <t xml:space="preserve">Brito e Assaf</t>
  </si>
  <si>
    <t xml:space="preserve">Atribuição 1</t>
  </si>
  <si>
    <t xml:space="preserve">Atribuição 2</t>
  </si>
  <si>
    <t xml:space="preserve">Atribuição 3</t>
  </si>
  <si>
    <t xml:space="preserve">Atribuição 4</t>
  </si>
  <si>
    <t xml:space="preserve">Atribuição 5</t>
  </si>
  <si>
    <t xml:space="preserve">Atribuição 6</t>
  </si>
  <si>
    <t xml:space="preserve">Atribuição 7</t>
  </si>
  <si>
    <t xml:space="preserve">Atribuição 8</t>
  </si>
  <si>
    <t xml:space="preserve">Atribuição 9</t>
  </si>
  <si>
    <t xml:space="preserve">Atribuição 10</t>
  </si>
  <si>
    <t xml:space="preserve">Média</t>
  </si>
  <si>
    <t xml:space="preserve">Desvio-padrão</t>
  </si>
  <si>
    <t xml:space="preserve">Mínimo</t>
  </si>
  <si>
    <t xml:space="preserve">Fonte: 01. A atribuição 1 é a de referência.</t>
  </si>
  <si>
    <t xml:space="preserve">Estabilidade entre dez atribuições, horizonte de dois anos</t>
  </si>
  <si>
    <t xml:space="preserve">Tabela 14 – Diferenças em relação ao escore sintético, subconjuntos puros</t>
  </si>
  <si>
    <t xml:space="preserve">Cobertura menos F</t>
  </si>
  <si>
    <t xml:space="preserve">IC inferior</t>
  </si>
  <si>
    <t xml:space="preserve">IC superior</t>
  </si>
  <si>
    <t xml:space="preserve">Prejuízo operacional, um ano</t>
  </si>
  <si>
    <t xml:space="preserve">Patrimônio negativo, um ano</t>
  </si>
  <si>
    <t xml:space="preserve">Recuperação judicial, um ano</t>
  </si>
  <si>
    <t xml:space="preserve">Prejuízo operacional, dois anos</t>
  </si>
  <si>
    <t xml:space="preserve">Patrimônio negativo, dois anos</t>
  </si>
  <si>
    <t xml:space="preserve">Recuperação judicial, dois anos</t>
  </si>
  <si>
    <t xml:space="preserve">Fonte: 13. Cada entrada satisfaz um único critério. Bootstrap agrupado por firma, sem correção por multiplicidade.</t>
  </si>
  <si>
    <t xml:space="preserve">Tabela 15 – Perfil das firmas no momento da previsão, por rota de deterioração</t>
  </si>
  <si>
    <t xml:space="preserve">Mediana no exercício t</t>
  </si>
  <si>
    <t xml:space="preserve">Entram por prejuízo operacional</t>
  </si>
  <si>
    <t xml:space="preserve">Entram por patrimônio negativo</t>
  </si>
  <si>
    <t xml:space="preserve">Não entram</t>
  </si>
  <si>
    <t xml:space="preserve">Capital de giro sobre ativo</t>
  </si>
  <si>
    <t xml:space="preserve">Margem EBITDA</t>
  </si>
  <si>
    <t xml:space="preserve">Logaritmo do ativo real</t>
  </si>
  <si>
    <t xml:space="preserve">Observações</t>
  </si>
  <si>
    <t xml:space="preserve">Fonte: 13. Horizonte de dois anos, sobre a amostra de risco.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</si>
</sst>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\+0.0000;\-0.0000"/>
    <numFmt numFmtId="167" formatCode="0"/>
    <numFmt numFmtId="168" formatCode="0.000"/>
    <numFmt numFmtId="169" formatCode="0.0%"/>
    <numFmt numFmtId="170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i val="true"/>
      <sz val="9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n">
        <v>0.764267398338662</v>
      </c>
      <c r="C4" s="5"/>
      <c r="D4" s="5"/>
      <c r="E4" s="5"/>
      <c r="F4" s="4"/>
      <c r="G4" s="4"/>
    </row>
    <row r="5" customFormat="false" ht="15" hidden="false" customHeight="false" outlineLevel="0" collapsed="false">
      <c r="A5" s="3" t="s">
        <v>9</v>
      </c>
      <c r="B5" s="4" t="n">
        <v>0.900185430608796</v>
      </c>
      <c r="C5" s="5" t="n">
        <f aca="false">B5-$B$4</f>
        <v>0.135918032270134</v>
      </c>
      <c r="D5" s="5" t="n">
        <v>0.090242077894253</v>
      </c>
      <c r="E5" s="5" t="n">
        <v>0.183902588858983</v>
      </c>
      <c r="F5" s="4" t="n">
        <v>0.0005</v>
      </c>
      <c r="G5" s="4" t="n">
        <f aca="false">MIN(1,F5*7)</f>
        <v>0.0035</v>
      </c>
    </row>
    <row r="6" customFormat="false" ht="15" hidden="false" customHeight="false" outlineLevel="0" collapsed="false">
      <c r="A6" s="3" t="s">
        <v>10</v>
      </c>
      <c r="B6" s="4" t="n">
        <v>0.893687136214063</v>
      </c>
      <c r="C6" s="5" t="n">
        <f aca="false">B6-$B$4</f>
        <v>0.129419737875401</v>
      </c>
      <c r="D6" s="5" t="n">
        <v>0.0800957193667922</v>
      </c>
      <c r="E6" s="5" t="n">
        <v>0.181328875610143</v>
      </c>
      <c r="F6" s="4" t="n">
        <v>0.0005</v>
      </c>
      <c r="G6" s="4" t="n">
        <f aca="false">MIN(1,F6*7)</f>
        <v>0.0035</v>
      </c>
    </row>
    <row r="7" customFormat="false" ht="15" hidden="false" customHeight="false" outlineLevel="0" collapsed="false">
      <c r="A7" s="3" t="s">
        <v>11</v>
      </c>
      <c r="B7" s="4" t="n">
        <v>0.875253031235395</v>
      </c>
      <c r="C7" s="5" t="n">
        <f aca="false">B7-$B$4</f>
        <v>0.110985632896733</v>
      </c>
      <c r="D7" s="5" t="n">
        <v>0.0644198867522225</v>
      </c>
      <c r="E7" s="5" t="n">
        <v>0.160335239951334</v>
      </c>
      <c r="F7" s="4" t="n">
        <v>0.0005</v>
      </c>
      <c r="G7" s="4" t="n">
        <f aca="false">MIN(1,F7*7)</f>
        <v>0.0035</v>
      </c>
    </row>
    <row r="8" customFormat="false" ht="15" hidden="false" customHeight="false" outlineLevel="0" collapsed="false">
      <c r="A8" s="3" t="s">
        <v>12</v>
      </c>
      <c r="B8" s="4" t="n">
        <v>0.873875664185579</v>
      </c>
      <c r="C8" s="5" t="n">
        <f aca="false">B8-$B$4</f>
        <v>0.109608265846916</v>
      </c>
      <c r="D8" s="5" t="n">
        <v>0.0607085903949829</v>
      </c>
      <c r="E8" s="5" t="n">
        <v>0.157800455395518</v>
      </c>
      <c r="F8" s="4" t="n">
        <v>0.0005</v>
      </c>
      <c r="G8" s="4" t="n">
        <f aca="false">MIN(1,F8*7)</f>
        <v>0.0035</v>
      </c>
    </row>
    <row r="9" customFormat="false" ht="15" hidden="false" customHeight="false" outlineLevel="0" collapsed="false">
      <c r="A9" s="3" t="s">
        <v>13</v>
      </c>
      <c r="B9" s="4" t="n">
        <v>0.734498453374412</v>
      </c>
      <c r="C9" s="5" t="n">
        <f aca="false">B9-$B$4</f>
        <v>-0.0297689449642501</v>
      </c>
      <c r="D9" s="5" t="n">
        <v>-0.0751501393568418</v>
      </c>
      <c r="E9" s="5" t="n">
        <v>0.0162514157036613</v>
      </c>
      <c r="F9" s="4" t="n">
        <v>0.199</v>
      </c>
      <c r="G9" s="4" t="n">
        <f aca="false">MIN(1,F9*7)</f>
        <v>1</v>
      </c>
    </row>
    <row r="10" customFormat="false" ht="15" hidden="false" customHeight="false" outlineLevel="0" collapsed="false">
      <c r="A10" s="3" t="s">
        <v>14</v>
      </c>
      <c r="B10" s="4" t="n">
        <v>0.603972025058487</v>
      </c>
      <c r="C10" s="5" t="n">
        <f aca="false">B10-$B$4</f>
        <v>-0.160295373280176</v>
      </c>
      <c r="D10" s="5" t="n">
        <v>-0.193073361694687</v>
      </c>
      <c r="E10" s="5" t="n">
        <v>-0.125432678801339</v>
      </c>
      <c r="F10" s="4" t="n">
        <v>0.0005</v>
      </c>
      <c r="G10" s="4" t="n">
        <f aca="false">MIN(1,F10*7)</f>
        <v>0.0035</v>
      </c>
    </row>
    <row r="11" customFormat="false" ht="15" hidden="false" customHeight="false" outlineLevel="0" collapsed="false">
      <c r="A11" s="3" t="s">
        <v>15</v>
      </c>
      <c r="B11" s="4" t="n">
        <v>0.531137403669964</v>
      </c>
      <c r="C11" s="5" t="n">
        <f aca="false">B11-$B$4</f>
        <v>-0.233129994668699</v>
      </c>
      <c r="D11" s="5" t="n">
        <v>-0.281592099154262</v>
      </c>
      <c r="E11" s="5" t="n">
        <v>-0.181285615837411</v>
      </c>
      <c r="F11" s="4" t="n">
        <v>0.0005</v>
      </c>
      <c r="G11" s="4" t="n">
        <f aca="false">MIN(1,F11*7)</f>
        <v>0.0035</v>
      </c>
    </row>
    <row r="13" customFormat="false" ht="15" hidden="false" customHeight="false" outlineLevel="0" collapsed="false">
      <c r="A13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17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n">
        <v>0.626612817231819</v>
      </c>
      <c r="C4" s="5"/>
      <c r="D4" s="5"/>
      <c r="E4" s="5"/>
      <c r="F4" s="4"/>
      <c r="G4" s="4"/>
    </row>
    <row r="5" customFormat="false" ht="15" hidden="false" customHeight="false" outlineLevel="0" collapsed="false">
      <c r="A5" s="3" t="s">
        <v>9</v>
      </c>
      <c r="B5" s="4" t="n">
        <v>0.751919385796545</v>
      </c>
      <c r="C5" s="5" t="n">
        <f aca="false">B5-$B$4</f>
        <v>0.125306568564726</v>
      </c>
      <c r="D5" s="5" t="n">
        <v>0.0597613988902714</v>
      </c>
      <c r="E5" s="5" t="n">
        <v>0.191405616559016</v>
      </c>
      <c r="F5" s="4" t="n">
        <v>0.0005</v>
      </c>
      <c r="G5" s="4" t="n">
        <f aca="false">MIN(1,F5*7)</f>
        <v>0.0035</v>
      </c>
    </row>
    <row r="6" customFormat="false" ht="15" hidden="false" customHeight="false" outlineLevel="0" collapsed="false">
      <c r="A6" s="3" t="s">
        <v>10</v>
      </c>
      <c r="B6" s="4" t="n">
        <v>0.681287702221004</v>
      </c>
      <c r="C6" s="5" t="n">
        <f aca="false">B6-$B$4</f>
        <v>0.0546748849891844</v>
      </c>
      <c r="D6" s="5" t="n">
        <v>0.0080984100669502</v>
      </c>
      <c r="E6" s="5" t="n">
        <v>0.105182287672428</v>
      </c>
      <c r="F6" s="4" t="n">
        <v>0.02</v>
      </c>
      <c r="G6" s="4" t="n">
        <f aca="false">MIN(1,F6*7)</f>
        <v>0.14</v>
      </c>
    </row>
    <row r="7" customFormat="false" ht="15" hidden="false" customHeight="false" outlineLevel="0" collapsed="false">
      <c r="A7" s="3" t="s">
        <v>11</v>
      </c>
      <c r="B7" s="4" t="n">
        <v>0.724754745148219</v>
      </c>
      <c r="C7" s="5" t="n">
        <f aca="false">B7-$B$4</f>
        <v>0.0981419279164001</v>
      </c>
      <c r="D7" s="5" t="n">
        <v>0.0493803501518459</v>
      </c>
      <c r="E7" s="5" t="n">
        <v>0.147854404332523</v>
      </c>
      <c r="F7" s="4" t="n">
        <v>0.0005</v>
      </c>
      <c r="G7" s="4" t="n">
        <f aca="false">MIN(1,F7*7)</f>
        <v>0.0035</v>
      </c>
    </row>
    <row r="8" customFormat="false" ht="15" hidden="false" customHeight="false" outlineLevel="0" collapsed="false">
      <c r="A8" s="3" t="s">
        <v>12</v>
      </c>
      <c r="B8" s="4" t="n">
        <v>0.73071664686348</v>
      </c>
      <c r="C8" s="5" t="n">
        <f aca="false">B8-$B$4</f>
        <v>0.104103829631661</v>
      </c>
      <c r="D8" s="5" t="n">
        <v>0.0596128290521198</v>
      </c>
      <c r="E8" s="5" t="n">
        <v>0.147957724829731</v>
      </c>
      <c r="F8" s="4" t="n">
        <v>0.0005</v>
      </c>
      <c r="G8" s="4" t="n">
        <f aca="false">MIN(1,F8*7)</f>
        <v>0.0035</v>
      </c>
    </row>
    <row r="9" customFormat="false" ht="15" hidden="false" customHeight="false" outlineLevel="0" collapsed="false">
      <c r="A9" s="3" t="s">
        <v>13</v>
      </c>
      <c r="B9" s="4" t="n">
        <v>0.667237912439448</v>
      </c>
      <c r="C9" s="5" t="n">
        <f aca="false">B9-$B$4</f>
        <v>0.0406250952076288</v>
      </c>
      <c r="D9" s="5" t="n">
        <v>-0.0119712517042226</v>
      </c>
      <c r="E9" s="5" t="n">
        <v>0.0912018136348069</v>
      </c>
      <c r="F9" s="4" t="n">
        <v>0.115</v>
      </c>
      <c r="G9" s="4" t="n">
        <f aca="false">MIN(1,F9*7)</f>
        <v>0.805</v>
      </c>
    </row>
    <row r="10" customFormat="false" ht="15" hidden="false" customHeight="false" outlineLevel="0" collapsed="false">
      <c r="A10" s="3" t="s">
        <v>14</v>
      </c>
      <c r="B10" s="4" t="n">
        <v>0.568079167047497</v>
      </c>
      <c r="C10" s="5" t="n">
        <f aca="false">B10-$B$4</f>
        <v>-0.058533650184322</v>
      </c>
      <c r="D10" s="5" t="n">
        <v>-0.0905528171102274</v>
      </c>
      <c r="E10" s="5" t="n">
        <v>-0.0278237792693648</v>
      </c>
      <c r="F10" s="4" t="n">
        <v>0.0005</v>
      </c>
      <c r="G10" s="4" t="n">
        <f aca="false">MIN(1,F10*7)</f>
        <v>0.0035</v>
      </c>
    </row>
    <row r="11" customFormat="false" ht="15" hidden="false" customHeight="false" outlineLevel="0" collapsed="false">
      <c r="A11" s="3" t="s">
        <v>15</v>
      </c>
      <c r="B11" s="4" t="n">
        <v>0.505255461109588</v>
      </c>
      <c r="C11" s="5" t="n">
        <f aca="false">B11-$B$4</f>
        <v>-0.121357356122231</v>
      </c>
      <c r="D11" s="5" t="n">
        <v>-0.171218726408485</v>
      </c>
      <c r="E11" s="5" t="n">
        <v>-0.0753579660663876</v>
      </c>
      <c r="F11" s="4" t="n">
        <v>0.0005</v>
      </c>
      <c r="G11" s="4" t="n">
        <f aca="false">MIN(1,F11*7)</f>
        <v>0.0035</v>
      </c>
    </row>
    <row r="13" customFormat="false" ht="15" hidden="false" customHeight="false" outlineLevel="0" collapsed="false">
      <c r="A13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" t="s">
        <v>18</v>
      </c>
    </row>
    <row r="3" customFormat="false" ht="30" hidden="false" customHeight="true" outlineLevel="0" collapsed="false">
      <c r="A3" s="2" t="s">
        <v>1</v>
      </c>
      <c r="B3" s="2" t="s">
        <v>19</v>
      </c>
      <c r="C3" s="2" t="s">
        <v>20</v>
      </c>
      <c r="D3" s="2" t="s">
        <v>4</v>
      </c>
      <c r="E3" s="2" t="s">
        <v>5</v>
      </c>
      <c r="F3" s="2" t="s">
        <v>21</v>
      </c>
    </row>
    <row r="4" customFormat="false" ht="15" hidden="false" customHeight="false" outlineLevel="0" collapsed="false">
      <c r="A4" s="3" t="s">
        <v>8</v>
      </c>
      <c r="B4" s="4" t="n">
        <v>0.743835421412301</v>
      </c>
      <c r="C4" s="5"/>
      <c r="D4" s="5"/>
      <c r="E4" s="5"/>
      <c r="F4" s="4" t="n">
        <v>0.680818252759095</v>
      </c>
    </row>
    <row r="5" customFormat="false" ht="15" hidden="false" customHeight="false" outlineLevel="0" collapsed="false">
      <c r="A5" s="3" t="s">
        <v>9</v>
      </c>
      <c r="B5" s="4" t="n">
        <v>0.910136674259681</v>
      </c>
      <c r="C5" s="5" t="n">
        <f aca="false">B5-$B$4</f>
        <v>0.166301252847381</v>
      </c>
      <c r="D5" s="5" t="n">
        <v>0.0767620987579285</v>
      </c>
      <c r="E5" s="5" t="n">
        <v>0.265051116539149</v>
      </c>
      <c r="F5" s="4" t="n">
        <v>0.712682546170711</v>
      </c>
    </row>
    <row r="6" customFormat="false" ht="15" hidden="false" customHeight="false" outlineLevel="0" collapsed="false">
      <c r="A6" s="3" t="s">
        <v>12</v>
      </c>
      <c r="B6" s="4" t="n">
        <v>0.903544988610478</v>
      </c>
      <c r="C6" s="5" t="n">
        <f aca="false">B6-$B$4</f>
        <v>0.159709567198178</v>
      </c>
      <c r="D6" s="5" t="n">
        <v>0.0668360979081909</v>
      </c>
      <c r="E6" s="5" t="n">
        <v>0.25787137641433</v>
      </c>
      <c r="F6" s="4" t="n">
        <v>0.727249080301735</v>
      </c>
    </row>
    <row r="7" customFormat="false" ht="15" hidden="false" customHeight="false" outlineLevel="0" collapsed="false">
      <c r="A7" s="3" t="s">
        <v>11</v>
      </c>
      <c r="B7" s="4" t="n">
        <v>0.899501708428246</v>
      </c>
      <c r="C7" s="5" t="n">
        <f aca="false">B7-$B$4</f>
        <v>0.155666287015945</v>
      </c>
      <c r="D7" s="5" t="n">
        <v>0.063143941202702</v>
      </c>
      <c r="E7" s="5" t="n">
        <v>0.258642713944733</v>
      </c>
      <c r="F7" s="4" t="n">
        <v>0.689773698487607</v>
      </c>
    </row>
    <row r="8" customFormat="false" ht="15" hidden="false" customHeight="false" outlineLevel="0" collapsed="false">
      <c r="A8" s="3" t="s">
        <v>10</v>
      </c>
      <c r="B8" s="4" t="n">
        <v>0.890546697038724</v>
      </c>
      <c r="C8" s="5" t="n">
        <f aca="false">B8-$B$4</f>
        <v>0.146711275626424</v>
      </c>
      <c r="D8" s="5" t="n">
        <v>0.0446372700183863</v>
      </c>
      <c r="E8" s="5" t="n">
        <v>0.252442977628922</v>
      </c>
      <c r="F8" s="4" t="n">
        <v>0.722093196090818</v>
      </c>
    </row>
    <row r="9" customFormat="false" ht="15" hidden="false" customHeight="false" outlineLevel="0" collapsed="false">
      <c r="A9" s="3" t="s">
        <v>13</v>
      </c>
      <c r="B9" s="4" t="n">
        <v>0.787015945330296</v>
      </c>
      <c r="C9" s="5" t="n">
        <f aca="false">B9-$B$4</f>
        <v>0.0431805239179955</v>
      </c>
      <c r="D9" s="5"/>
      <c r="E9" s="5"/>
      <c r="F9" s="4" t="n">
        <v>0.686262123295307</v>
      </c>
    </row>
    <row r="11" customFormat="false" ht="15" hidden="false" customHeight="false" outlineLevel="0" collapsed="false">
      <c r="A11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23</v>
      </c>
    </row>
    <row r="3" customFormat="false" ht="30" hidden="false" customHeight="tru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</row>
    <row r="4" customFormat="false" ht="15" hidden="false" customHeight="false" outlineLevel="0" collapsed="false">
      <c r="A4" s="3" t="s">
        <v>31</v>
      </c>
      <c r="B4" s="7"/>
      <c r="C4" s="4"/>
      <c r="D4" s="4"/>
      <c r="E4" s="4"/>
      <c r="F4" s="4"/>
      <c r="G4" s="4"/>
    </row>
    <row r="5" customFormat="false" ht="15" hidden="false" customHeight="false" outlineLevel="0" collapsed="false">
      <c r="A5" s="3" t="s">
        <v>32</v>
      </c>
      <c r="B5" s="7" t="n">
        <v>66</v>
      </c>
      <c r="C5" s="4" t="n">
        <v>0.645674841121033</v>
      </c>
      <c r="D5" s="4" t="n">
        <v>0.969020303092184</v>
      </c>
      <c r="E5" s="4" t="n">
        <v>0.97298748151311</v>
      </c>
      <c r="F5" s="4" t="n">
        <v>0.938500999375004</v>
      </c>
      <c r="G5" s="4" t="n">
        <v>0.911730125432392</v>
      </c>
    </row>
    <row r="6" customFormat="false" ht="15" hidden="false" customHeight="false" outlineLevel="0" collapsed="false">
      <c r="A6" s="3" t="s">
        <v>33</v>
      </c>
      <c r="B6" s="7" t="n">
        <v>70</v>
      </c>
      <c r="C6" s="4" t="n">
        <v>0.858013360949853</v>
      </c>
      <c r="D6" s="4" t="n">
        <v>0.836109571457744</v>
      </c>
      <c r="E6" s="4" t="n">
        <v>0.825110125732956</v>
      </c>
      <c r="F6" s="4" t="n">
        <v>0.806182502406721</v>
      </c>
      <c r="G6" s="4" t="n">
        <v>0.833224423116194</v>
      </c>
    </row>
    <row r="7" customFormat="false" ht="15" hidden="false" customHeight="false" outlineLevel="0" collapsed="false">
      <c r="A7" s="3" t="s">
        <v>34</v>
      </c>
      <c r="B7" s="7" t="n">
        <v>20</v>
      </c>
      <c r="C7" s="4" t="n">
        <v>0.887505615683071</v>
      </c>
      <c r="D7" s="4" t="n">
        <v>0.887425975086788</v>
      </c>
      <c r="E7" s="4" t="n">
        <v>0.869802940575863</v>
      </c>
      <c r="F7" s="4" t="n">
        <v>0.922327955891362</v>
      </c>
      <c r="G7" s="4" t="n">
        <v>0.917623034510925</v>
      </c>
    </row>
    <row r="8" customFormat="false" ht="15" hidden="false" customHeight="false" outlineLevel="0" collapsed="false">
      <c r="A8" s="3" t="s">
        <v>35</v>
      </c>
      <c r="B8" s="7" t="n">
        <v>149</v>
      </c>
      <c r="C8" s="4" t="n">
        <v>0.763207716544714</v>
      </c>
      <c r="D8" s="4" t="n">
        <v>0.897094783410745</v>
      </c>
      <c r="E8" s="4" t="n">
        <v>0.893687136214063</v>
      </c>
      <c r="F8" s="4" t="n">
        <v>0.873822625275302</v>
      </c>
      <c r="G8" s="4" t="n">
        <v>0.873875664185579</v>
      </c>
    </row>
    <row r="9" customFormat="false" ht="15" hidden="false" customHeight="false" outlineLevel="0" collapsed="false">
      <c r="A9" s="3" t="s">
        <v>36</v>
      </c>
      <c r="B9" s="7"/>
      <c r="C9" s="4"/>
      <c r="D9" s="4"/>
      <c r="E9" s="4"/>
      <c r="F9" s="4"/>
      <c r="G9" s="4"/>
    </row>
    <row r="10" customFormat="false" ht="15" hidden="false" customHeight="false" outlineLevel="0" collapsed="false">
      <c r="A10" s="3" t="s">
        <v>32</v>
      </c>
      <c r="B10" s="7" t="n">
        <v>52</v>
      </c>
      <c r="C10" s="4" t="n">
        <v>0.37722528790787</v>
      </c>
      <c r="D10" s="4" t="n">
        <v>0.722556704931345</v>
      </c>
      <c r="E10" s="4" t="n">
        <v>0.522132917466411</v>
      </c>
      <c r="F10" s="4" t="n">
        <v>0.649544607264137</v>
      </c>
      <c r="G10" s="4" t="n">
        <v>0.595111102908608</v>
      </c>
    </row>
    <row r="11" customFormat="false" ht="15" hidden="false" customHeight="false" outlineLevel="0" collapsed="false">
      <c r="A11" s="3" t="s">
        <v>33</v>
      </c>
      <c r="B11" s="7" t="n">
        <v>63</v>
      </c>
      <c r="C11" s="4" t="n">
        <v>0.806624165981172</v>
      </c>
      <c r="D11" s="4" t="n">
        <v>0.772177855467203</v>
      </c>
      <c r="E11" s="4" t="n">
        <v>0.801733921335649</v>
      </c>
      <c r="F11" s="4" t="n">
        <v>0.764780413124943</v>
      </c>
      <c r="G11" s="4" t="n">
        <v>0.829193705633245</v>
      </c>
    </row>
    <row r="12" customFormat="false" ht="15" hidden="false" customHeight="false" outlineLevel="0" collapsed="false">
      <c r="A12" s="3" t="s">
        <v>34</v>
      </c>
      <c r="B12" s="7" t="n">
        <v>17</v>
      </c>
      <c r="C12" s="4" t="n">
        <v>0.806510387264311</v>
      </c>
      <c r="D12" s="4" t="n">
        <v>0.849143332956983</v>
      </c>
      <c r="E12" s="4" t="n">
        <v>0.766484136840917</v>
      </c>
      <c r="F12" s="4" t="n">
        <v>0.859347126566558</v>
      </c>
      <c r="G12" s="4" t="n">
        <v>0.825985096533815</v>
      </c>
    </row>
    <row r="13" customFormat="false" ht="15" hidden="false" customHeight="false" outlineLevel="0" collapsed="false">
      <c r="A13" s="3" t="s">
        <v>35</v>
      </c>
      <c r="B13" s="7" t="n">
        <v>126</v>
      </c>
      <c r="C13" s="4" t="n">
        <v>0.626757151997075</v>
      </c>
      <c r="D13" s="4" t="n">
        <v>0.757206075008378</v>
      </c>
      <c r="E13" s="4" t="n">
        <v>0.681287702221004</v>
      </c>
      <c r="F13" s="4" t="n">
        <v>0.72646638789873</v>
      </c>
      <c r="G13" s="4" t="n">
        <v>0.73071664686348</v>
      </c>
    </row>
    <row r="15" customFormat="false" ht="15" hidden="false" customHeight="false" outlineLevel="0" collapsed="false">
      <c r="A15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" t="s">
        <v>38</v>
      </c>
    </row>
    <row r="3" customFormat="false" ht="30" hidden="false" customHeight="true" outlineLevel="0" collapsed="false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</row>
    <row r="4" customFormat="false" ht="15" hidden="false" customHeight="false" outlineLevel="0" collapsed="false">
      <c r="A4" s="3" t="s">
        <v>30</v>
      </c>
      <c r="B4" s="8" t="n">
        <v>0.780783062873292</v>
      </c>
      <c r="C4" s="8" t="n">
        <v>0.48627472863789</v>
      </c>
      <c r="D4" s="8" t="n">
        <v>0.889077026811682</v>
      </c>
      <c r="E4" s="9" t="n">
        <v>0.452236234964863</v>
      </c>
    </row>
    <row r="5" customFormat="false" ht="15" hidden="false" customHeight="false" outlineLevel="0" collapsed="false">
      <c r="A5" s="3" t="s">
        <v>44</v>
      </c>
      <c r="B5" s="8" t="n">
        <v>0.774695135092589</v>
      </c>
      <c r="C5" s="8" t="n">
        <v>0.238113071125549</v>
      </c>
      <c r="D5" s="8" t="n">
        <v>0.168890555847401</v>
      </c>
      <c r="E5" s="9" t="n">
        <v>0.366110304900671</v>
      </c>
    </row>
    <row r="6" customFormat="false" ht="15" hidden="false" customHeight="false" outlineLevel="0" collapsed="false">
      <c r="A6" s="3" t="s">
        <v>45</v>
      </c>
      <c r="B6" s="8" t="n">
        <v>0.68833033169227</v>
      </c>
      <c r="C6" s="8" t="n">
        <v>0.226029228081107</v>
      </c>
      <c r="D6" s="8" t="n">
        <v>0.301210882140014</v>
      </c>
      <c r="E6" s="9" t="n">
        <v>0.44151965006269</v>
      </c>
    </row>
    <row r="7" customFormat="false" ht="15" hidden="false" customHeight="false" outlineLevel="0" collapsed="false">
      <c r="A7" s="3" t="s">
        <v>46</v>
      </c>
      <c r="B7" s="8" t="n">
        <v>0.350637278695345</v>
      </c>
      <c r="C7" s="8" t="n">
        <v>0.531605179440876</v>
      </c>
      <c r="D7" s="8" t="n">
        <v>0.106855974215405</v>
      </c>
      <c r="E7" s="9" t="n">
        <v>0.608172927280216</v>
      </c>
    </row>
    <row r="8" customFormat="false" ht="15" hidden="false" customHeight="false" outlineLevel="0" collapsed="false">
      <c r="A8" s="3" t="s">
        <v>47</v>
      </c>
      <c r="B8" s="8" t="n">
        <v>0.342364181207915</v>
      </c>
      <c r="C8" s="8" t="n">
        <v>0.373227621659178</v>
      </c>
      <c r="D8" s="8" t="n">
        <v>0.195024162423581</v>
      </c>
      <c r="E8" s="9" t="n">
        <v>0.55753687407719</v>
      </c>
    </row>
    <row r="9" customFormat="false" ht="15" hidden="false" customHeight="false" outlineLevel="0" collapsed="false">
      <c r="A9" s="3" t="s">
        <v>48</v>
      </c>
      <c r="B9" s="8" t="n">
        <v>0.323418235110018</v>
      </c>
      <c r="C9" s="8" t="n">
        <v>0.178921799723756</v>
      </c>
      <c r="D9" s="8" t="n">
        <v>0.00650744486255841</v>
      </c>
      <c r="E9" s="9" t="n">
        <v>0.287004851493431</v>
      </c>
    </row>
    <row r="10" customFormat="false" ht="15" hidden="false" customHeight="false" outlineLevel="0" collapsed="false">
      <c r="A10" s="3" t="s">
        <v>49</v>
      </c>
      <c r="B10" s="8" t="n">
        <v>0.30599872188187</v>
      </c>
      <c r="C10" s="8" t="n">
        <v>0.17114287593687</v>
      </c>
      <c r="D10" s="8" t="n">
        <v>0.20193913561241</v>
      </c>
      <c r="E10" s="9" t="n">
        <v>0.551880562359334</v>
      </c>
    </row>
    <row r="11" customFormat="false" ht="15" hidden="false" customHeight="false" outlineLevel="0" collapsed="false">
      <c r="A11" s="3" t="s">
        <v>50</v>
      </c>
      <c r="B11" s="8" t="n">
        <v>0.176199453894981</v>
      </c>
      <c r="C11" s="8" t="n">
        <v>0.415384187135599</v>
      </c>
      <c r="D11" s="8" t="n">
        <v>0.00395481183124808</v>
      </c>
      <c r="E11" s="9" t="n">
        <v>0.682760454855237</v>
      </c>
    </row>
    <row r="13" customFormat="false" ht="15" hidden="false" customHeight="false" outlineLevel="0" collapsed="false">
      <c r="A13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52</v>
      </c>
    </row>
    <row r="3" customFormat="false" ht="30" hidden="false" customHeight="true" outlineLevel="0" collapsed="false">
      <c r="A3" s="2" t="s">
        <v>1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</row>
    <row r="4" customFormat="false" ht="15" hidden="false" customHeight="false" outlineLevel="0" collapsed="false">
      <c r="A4" s="3" t="s">
        <v>9</v>
      </c>
      <c r="B4" s="8" t="n">
        <v>0.234261627665135</v>
      </c>
      <c r="C4" s="4" t="n">
        <v>0.0265137176514983</v>
      </c>
      <c r="D4" s="8" t="n">
        <v>1.01596915198933</v>
      </c>
      <c r="E4" s="9" t="n">
        <v>0.172017439556084</v>
      </c>
      <c r="F4" s="8" t="n">
        <v>0.13594470046083</v>
      </c>
      <c r="G4" s="5" t="n">
        <v>0.00824415378517638</v>
      </c>
    </row>
    <row r="5" customFormat="false" ht="15" hidden="false" customHeight="false" outlineLevel="0" collapsed="false">
      <c r="A5" s="3" t="s">
        <v>10</v>
      </c>
      <c r="B5" s="8" t="n">
        <v>0.214733717263813</v>
      </c>
      <c r="C5" s="4" t="n">
        <v>0.0279884457179383</v>
      </c>
      <c r="D5" s="8" t="n">
        <v>0.970449809886877</v>
      </c>
      <c r="E5" s="9" t="n">
        <v>0.186682520808561</v>
      </c>
      <c r="F5" s="8" t="n">
        <v>0.124203821656051</v>
      </c>
      <c r="G5" s="5" t="n">
        <v>0.00231866825208086</v>
      </c>
    </row>
    <row r="6" customFormat="false" ht="15" hidden="false" customHeight="false" outlineLevel="0" collapsed="false">
      <c r="A6" s="3" t="s">
        <v>11</v>
      </c>
      <c r="B6" s="8" t="n">
        <v>0.171928329526102</v>
      </c>
      <c r="C6" s="4" t="n">
        <v>0.0288484234983213</v>
      </c>
      <c r="D6" s="8" t="n">
        <v>1.00500507911664</v>
      </c>
      <c r="E6" s="9" t="n">
        <v>0.207689258818866</v>
      </c>
      <c r="F6" s="8" t="n">
        <v>0.112595419847328</v>
      </c>
      <c r="G6" s="5" t="n">
        <v>0.00370590566785573</v>
      </c>
    </row>
    <row r="7" customFormat="false" ht="15" hidden="false" customHeight="false" outlineLevel="0" collapsed="false">
      <c r="A7" s="3" t="s">
        <v>12</v>
      </c>
      <c r="B7" s="8" t="n">
        <v>0.17144107679132</v>
      </c>
      <c r="C7" s="4" t="n">
        <v>0.0289235936489408</v>
      </c>
      <c r="D7" s="8" t="n">
        <v>0.968121634938165</v>
      </c>
      <c r="E7" s="9" t="n">
        <v>0.175782798256044</v>
      </c>
      <c r="F7" s="8" t="n">
        <v>0.133032694475761</v>
      </c>
      <c r="G7" s="5" t="n">
        <v>0.00307173999207293</v>
      </c>
    </row>
    <row r="8" customFormat="false" ht="15" hidden="false" customHeight="false" outlineLevel="0" collapsed="false">
      <c r="A8" s="3" t="s">
        <v>8</v>
      </c>
      <c r="B8" s="8" t="n">
        <v>0.109522282672632</v>
      </c>
      <c r="C8" s="4" t="n">
        <v>0.0285132844958893</v>
      </c>
      <c r="D8" s="8" t="n">
        <v>0.973015511320882</v>
      </c>
      <c r="E8" s="9" t="n">
        <v>0.440943321442727</v>
      </c>
      <c r="F8" s="8" t="n">
        <v>0.0534831460674157</v>
      </c>
      <c r="G8" s="5" t="n">
        <v>0.00124851367419738</v>
      </c>
    </row>
    <row r="9" customFormat="false" ht="15" hidden="false" customHeight="false" outlineLevel="0" collapsed="false">
      <c r="A9" s="3" t="s">
        <v>13</v>
      </c>
      <c r="B9" s="8" t="n">
        <v>0.0767679253536162</v>
      </c>
      <c r="C9" s="4" t="n">
        <v>0.0290237015411308</v>
      </c>
      <c r="D9" s="8" t="n">
        <v>0.738041435678831</v>
      </c>
      <c r="E9" s="9" t="n">
        <v>0.545977011494253</v>
      </c>
      <c r="F9" s="8" t="n">
        <v>0.0442831215970962</v>
      </c>
      <c r="G9" s="5" t="n">
        <v>-5.94530321046373E-005</v>
      </c>
    </row>
    <row r="10" customFormat="false" ht="15" hidden="false" customHeight="false" outlineLevel="0" collapsed="false">
      <c r="A10" s="3" t="s">
        <v>59</v>
      </c>
      <c r="B10" s="8" t="n">
        <v>0.0295283392786366</v>
      </c>
      <c r="C10" s="4" t="n">
        <v>0.0286564164580823</v>
      </c>
      <c r="D10" s="8"/>
      <c r="E10" s="9"/>
      <c r="F10" s="8"/>
      <c r="G10" s="5" t="n">
        <v>-0.0675188267934998</v>
      </c>
    </row>
    <row r="12" customFormat="false" ht="15" hidden="false" customHeight="false" outlineLevel="0" collapsed="false">
      <c r="A12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 t="s">
        <v>61</v>
      </c>
    </row>
    <row r="3" customFormat="false" ht="30" hidden="false" customHeight="true" outlineLevel="0" collapsed="false">
      <c r="A3" s="2" t="s">
        <v>62</v>
      </c>
      <c r="B3" s="2" t="s">
        <v>63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</row>
    <row r="4" customFormat="false" ht="15" hidden="false" customHeight="false" outlineLevel="0" collapsed="false">
      <c r="A4" s="3" t="s">
        <v>64</v>
      </c>
      <c r="B4" s="10" t="n">
        <v>5046</v>
      </c>
      <c r="C4" s="7" t="n">
        <v>149</v>
      </c>
      <c r="D4" s="4" t="n">
        <v>0.763207716544714</v>
      </c>
      <c r="E4" s="4" t="n">
        <v>0.897094783410745</v>
      </c>
      <c r="F4" s="4" t="n">
        <v>0.893687136214063</v>
      </c>
      <c r="G4" s="4" t="n">
        <v>0.873822625275302</v>
      </c>
    </row>
    <row r="5" customFormat="false" ht="15" hidden="false" customHeight="false" outlineLevel="0" collapsed="false">
      <c r="A5" s="3" t="s">
        <v>65</v>
      </c>
      <c r="B5" s="10" t="n">
        <v>4980</v>
      </c>
      <c r="C5" s="7" t="n">
        <v>83</v>
      </c>
      <c r="D5" s="4" t="n">
        <v>0.856667593387641</v>
      </c>
      <c r="E5" s="4" t="n">
        <v>0.85752083276951</v>
      </c>
      <c r="F5" s="4" t="n">
        <v>0.830629030313617</v>
      </c>
      <c r="G5" s="4" t="n">
        <v>0.856184632341906</v>
      </c>
    </row>
    <row r="6" customFormat="false" ht="15" hidden="false" customHeight="false" outlineLevel="0" collapsed="false">
      <c r="A6" s="3" t="s">
        <v>66</v>
      </c>
      <c r="B6" s="10" t="n">
        <v>5575</v>
      </c>
      <c r="C6" s="7" t="n">
        <v>81</v>
      </c>
      <c r="D6" s="4" t="n">
        <v>0.889054726368159</v>
      </c>
      <c r="E6" s="4" t="n">
        <v>0.954618955808132</v>
      </c>
      <c r="F6" s="4" t="n">
        <v>0.900035729213014</v>
      </c>
      <c r="G6" s="4" t="n">
        <v>0.931884165441986</v>
      </c>
    </row>
    <row r="8" customFormat="false" ht="15" hidden="false" customHeight="false" outlineLevel="0" collapsed="false">
      <c r="A8" s="6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1" t="s">
        <v>68</v>
      </c>
    </row>
    <row r="3" customFormat="false" ht="30" hidden="false" customHeight="true" outlineLevel="0" collapsed="false">
      <c r="A3" s="2" t="s">
        <v>69</v>
      </c>
      <c r="B3" s="2" t="s">
        <v>63</v>
      </c>
      <c r="C3" s="2" t="s">
        <v>25</v>
      </c>
      <c r="D3" s="2" t="s">
        <v>26</v>
      </c>
      <c r="E3" s="2" t="s">
        <v>29</v>
      </c>
      <c r="F3" s="2" t="s">
        <v>28</v>
      </c>
      <c r="G3" s="2" t="s">
        <v>30</v>
      </c>
      <c r="H3" s="2" t="s">
        <v>70</v>
      </c>
    </row>
    <row r="4" customFormat="false" ht="15" hidden="false" customHeight="false" outlineLevel="0" collapsed="false">
      <c r="A4" s="3" t="s">
        <v>71</v>
      </c>
      <c r="B4" s="10" t="n">
        <v>5046</v>
      </c>
      <c r="C4" s="7" t="n">
        <v>149</v>
      </c>
      <c r="D4" s="4" t="n">
        <v>0.764267398338662</v>
      </c>
      <c r="E4" s="4" t="n">
        <v>0.875253031235395</v>
      </c>
      <c r="F4" s="4" t="n">
        <v>0.893687136214063</v>
      </c>
      <c r="G4" s="4" t="n">
        <v>0.873875664185579</v>
      </c>
      <c r="H4" s="5" t="n">
        <f aca="false">E4-D4</f>
        <v>0.110985632896733</v>
      </c>
    </row>
    <row r="5" customFormat="false" ht="15" hidden="false" customHeight="false" outlineLevel="0" collapsed="false">
      <c r="A5" s="3" t="s">
        <v>72</v>
      </c>
      <c r="B5" s="10" t="n">
        <v>5035</v>
      </c>
      <c r="C5" s="7" t="n">
        <v>138</v>
      </c>
      <c r="D5" s="4" t="n">
        <v>0.759206316792594</v>
      </c>
      <c r="E5" s="4" t="n">
        <v>0.875920779655098</v>
      </c>
      <c r="F5" s="4" t="n">
        <v>0.898019491377448</v>
      </c>
      <c r="G5" s="4" t="n">
        <v>0.873017493703628</v>
      </c>
      <c r="H5" s="5" t="n">
        <f aca="false">E5-D5</f>
        <v>0.116714462862504</v>
      </c>
    </row>
    <row r="6" customFormat="false" ht="15" hidden="false" customHeight="false" outlineLevel="0" collapsed="false">
      <c r="A6" s="3" t="s">
        <v>73</v>
      </c>
      <c r="B6" s="10" t="n">
        <v>4629</v>
      </c>
      <c r="C6" s="7" t="n">
        <v>130</v>
      </c>
      <c r="D6" s="4" t="n">
        <v>0.789324123309453</v>
      </c>
      <c r="E6" s="4" t="n">
        <v>0.897084822268196</v>
      </c>
      <c r="F6" s="4" t="n">
        <v>0.90651426812796</v>
      </c>
      <c r="G6" s="4" t="n">
        <v>0.886800485577992</v>
      </c>
      <c r="H6" s="5" t="n">
        <f aca="false">E6-D6</f>
        <v>0.107760698958743</v>
      </c>
    </row>
    <row r="7" customFormat="false" ht="15" hidden="false" customHeight="false" outlineLevel="0" collapsed="false">
      <c r="A7" s="3" t="s">
        <v>74</v>
      </c>
      <c r="B7" s="10" t="n">
        <v>5052</v>
      </c>
      <c r="C7" s="7" t="n">
        <v>155</v>
      </c>
      <c r="D7" s="4" t="n">
        <v>0.766531187626394</v>
      </c>
      <c r="E7" s="4" t="n">
        <v>0.877987181091781</v>
      </c>
      <c r="F7" s="4" t="n">
        <v>0.894770992114988</v>
      </c>
      <c r="G7" s="4" t="n">
        <v>0.875601256859038</v>
      </c>
      <c r="H7" s="5" t="n">
        <f aca="false">E7-D7</f>
        <v>0.111455993465387</v>
      </c>
    </row>
    <row r="8" customFormat="false" ht="15" hidden="false" customHeight="false" outlineLevel="0" collapsed="false">
      <c r="A8" s="3" t="s">
        <v>75</v>
      </c>
      <c r="B8" s="10" t="n">
        <v>4201</v>
      </c>
      <c r="C8" s="7" t="n">
        <v>104</v>
      </c>
      <c r="D8" s="4" t="n">
        <v>0.744979910253281</v>
      </c>
      <c r="E8" s="4" t="n">
        <v>0.890046187641989</v>
      </c>
      <c r="F8" s="4" t="n">
        <v>0.90976629240908</v>
      </c>
      <c r="G8" s="4" t="n">
        <v>0.892249957755206</v>
      </c>
      <c r="H8" s="5" t="n">
        <f aca="false">E8-D8</f>
        <v>0.145066277388708</v>
      </c>
    </row>
    <row r="10" customFormat="false" ht="15" hidden="false" customHeight="false" outlineLevel="0" collapsed="false">
      <c r="A10" s="6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" t="s">
        <v>77</v>
      </c>
    </row>
    <row r="3" customFormat="false" ht="30" hidden="false" customHeight="true" outlineLevel="0" collapsed="false">
      <c r="A3" s="2" t="s">
        <v>69</v>
      </c>
      <c r="B3" s="2" t="s">
        <v>78</v>
      </c>
      <c r="C3" s="2" t="s">
        <v>20</v>
      </c>
    </row>
    <row r="4" customFormat="false" ht="15" hidden="false" customHeight="false" outlineLevel="0" collapsed="false">
      <c r="A4" s="3" t="s">
        <v>79</v>
      </c>
      <c r="B4" s="4" t="n">
        <v>0.762685824631709</v>
      </c>
      <c r="C4" s="5"/>
    </row>
    <row r="5" customFormat="false" ht="15" hidden="false" customHeight="false" outlineLevel="0" collapsed="false">
      <c r="A5" s="3" t="s">
        <v>80</v>
      </c>
      <c r="B5" s="4" t="n">
        <v>0.778659170866151</v>
      </c>
      <c r="C5" s="5" t="n">
        <f aca="false">B5-B4</f>
        <v>0.0159733462344429</v>
      </c>
    </row>
    <row r="6" customFormat="false" ht="15" hidden="false" customHeight="false" outlineLevel="0" collapsed="false">
      <c r="A6" s="3" t="s">
        <v>81</v>
      </c>
      <c r="B6" s="4" t="n">
        <v>0.886041035944483</v>
      </c>
      <c r="C6" s="5"/>
    </row>
    <row r="7" customFormat="false" ht="15" hidden="false" customHeight="false" outlineLevel="0" collapsed="false">
      <c r="A7" s="3" t="s">
        <v>82</v>
      </c>
      <c r="B7" s="4" t="n">
        <v>0.885591507195886</v>
      </c>
      <c r="C7" s="5" t="n">
        <f aca="false">B7-B6</f>
        <v>-0.000449528748596939</v>
      </c>
    </row>
    <row r="8" customFormat="false" ht="15" hidden="false" customHeight="false" outlineLevel="0" collapsed="false">
      <c r="A8" s="3" t="s">
        <v>83</v>
      </c>
      <c r="B8" s="4" t="n">
        <v>0.875983515451866</v>
      </c>
      <c r="C8" s="5"/>
    </row>
    <row r="9" customFormat="false" ht="15" hidden="false" customHeight="false" outlineLevel="0" collapsed="false">
      <c r="A9" s="3" t="s">
        <v>84</v>
      </c>
      <c r="B9" s="4" t="n">
        <v>0.853337134226818</v>
      </c>
      <c r="C9" s="5" t="n">
        <f aca="false">B9-B8</f>
        <v>-0.022646381225048</v>
      </c>
    </row>
    <row r="11" customFormat="false" ht="15" hidden="false" customHeight="false" outlineLevel="0" collapsed="false">
      <c r="A11" s="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" t="s">
        <v>86</v>
      </c>
    </row>
    <row r="3" customFormat="false" ht="30" hidden="false" customHeight="true" outlineLevel="0" collapsed="false">
      <c r="A3" s="2" t="s">
        <v>87</v>
      </c>
      <c r="B3" s="2" t="s">
        <v>88</v>
      </c>
      <c r="C3" s="2" t="s">
        <v>29</v>
      </c>
      <c r="D3" s="2" t="s">
        <v>27</v>
      </c>
      <c r="E3" s="2" t="s">
        <v>89</v>
      </c>
      <c r="F3" s="2" t="s">
        <v>70</v>
      </c>
    </row>
    <row r="4" customFormat="false" ht="15" hidden="false" customHeight="false" outlineLevel="0" collapsed="false">
      <c r="A4" s="3" t="s">
        <v>90</v>
      </c>
      <c r="B4" s="4" t="n">
        <v>0.764267398338662</v>
      </c>
      <c r="C4" s="4" t="n">
        <v>0.875253031235395</v>
      </c>
      <c r="D4" s="4" t="n">
        <v>0.900185430608796</v>
      </c>
      <c r="E4" s="4" t="n">
        <v>0.734498453374412</v>
      </c>
      <c r="F4" s="5" t="n">
        <f aca="false">C4-B4</f>
        <v>0.110985632896733</v>
      </c>
    </row>
    <row r="5" customFormat="false" ht="15" hidden="false" customHeight="false" outlineLevel="0" collapsed="false">
      <c r="A5" s="3" t="s">
        <v>91</v>
      </c>
      <c r="B5" s="4" t="n">
        <v>0.764651142392343</v>
      </c>
      <c r="C5" s="4" t="n">
        <v>0.874724012647108</v>
      </c>
      <c r="D5" s="4" t="n">
        <v>0.891410711667053</v>
      </c>
      <c r="E5" s="4" t="n">
        <v>0.739110234590963</v>
      </c>
      <c r="F5" s="5" t="n">
        <f aca="false">C5-B5</f>
        <v>0.110072870254765</v>
      </c>
    </row>
    <row r="6" customFormat="false" ht="15" hidden="false" customHeight="false" outlineLevel="0" collapsed="false">
      <c r="A6" s="3" t="s">
        <v>92</v>
      </c>
      <c r="B6" s="4" t="n">
        <v>0.761212521568472</v>
      </c>
      <c r="C6" s="4" t="n">
        <v>0.874192253029865</v>
      </c>
      <c r="D6" s="4" t="n">
        <v>0.90335611585233</v>
      </c>
      <c r="E6" s="4" t="n">
        <v>0.73342808156754</v>
      </c>
      <c r="F6" s="5" t="n">
        <f aca="false">C6-B6</f>
        <v>0.112979731461393</v>
      </c>
    </row>
    <row r="7" customFormat="false" ht="15" hidden="false" customHeight="false" outlineLevel="0" collapsed="false">
      <c r="A7" s="3" t="s">
        <v>93</v>
      </c>
      <c r="B7" s="4" t="n">
        <v>0.762180104789537</v>
      </c>
      <c r="C7" s="4" t="n">
        <v>0.877347177356908</v>
      </c>
      <c r="D7" s="4" t="n">
        <v>0.895519514070387</v>
      </c>
      <c r="E7" s="4" t="n">
        <v>0.733607618964083</v>
      </c>
      <c r="F7" s="5" t="n">
        <f aca="false">C7-B7</f>
        <v>0.115167072567371</v>
      </c>
    </row>
    <row r="8" customFormat="false" ht="15" hidden="false" customHeight="false" outlineLevel="0" collapsed="false">
      <c r="A8" s="3" t="s">
        <v>94</v>
      </c>
      <c r="B8" s="4" t="n">
        <v>0.765218535385999</v>
      </c>
      <c r="C8" s="4" t="n">
        <v>0.868708824605669</v>
      </c>
      <c r="D8" s="4" t="n">
        <v>0.891981530946902</v>
      </c>
      <c r="E8" s="4" t="n">
        <v>0.705465474684542</v>
      </c>
      <c r="F8" s="5" t="n">
        <f aca="false">C8-B8</f>
        <v>0.10349028921967</v>
      </c>
    </row>
    <row r="9" customFormat="false" ht="15" hidden="false" customHeight="false" outlineLevel="0" collapsed="false">
      <c r="A9" s="3" t="s">
        <v>95</v>
      </c>
      <c r="B9" s="4" t="n">
        <v>0.762594000161721</v>
      </c>
      <c r="C9" s="4" t="n">
        <v>0.875088569498104</v>
      </c>
      <c r="D9" s="4" t="n">
        <v>0.897446457425653</v>
      </c>
      <c r="E9" s="4" t="n">
        <v>0.727713036196658</v>
      </c>
      <c r="F9" s="5" t="n">
        <f aca="false">C9-B9</f>
        <v>0.112494569336383</v>
      </c>
    </row>
    <row r="10" customFormat="false" ht="15" hidden="false" customHeight="false" outlineLevel="0" collapsed="false">
      <c r="A10" s="3" t="s">
        <v>96</v>
      </c>
      <c r="B10" s="4" t="n">
        <v>0.760266866579045</v>
      </c>
      <c r="C10" s="4" t="n">
        <v>0.870086191655486</v>
      </c>
      <c r="D10" s="4" t="n">
        <v>0.898374980984112</v>
      </c>
      <c r="E10" s="4" t="n">
        <v>0.725224181905646</v>
      </c>
      <c r="F10" s="5" t="n">
        <f aca="false">C10-B10</f>
        <v>0.10981932507644</v>
      </c>
    </row>
    <row r="11" customFormat="false" ht="15" hidden="false" customHeight="false" outlineLevel="0" collapsed="false">
      <c r="A11" s="3" t="s">
        <v>97</v>
      </c>
      <c r="B11" s="4" t="n">
        <v>0.763819240104543</v>
      </c>
      <c r="C11" s="4" t="n">
        <v>0.875402417313435</v>
      </c>
      <c r="D11" s="4" t="n">
        <v>0.898148846095336</v>
      </c>
      <c r="E11" s="4" t="n">
        <v>0.731634078116584</v>
      </c>
      <c r="F11" s="5" t="n">
        <f aca="false">C11-B11</f>
        <v>0.111583177208892</v>
      </c>
    </row>
    <row r="12" customFormat="false" ht="15" hidden="false" customHeight="false" outlineLevel="0" collapsed="false">
      <c r="A12" s="3" t="s">
        <v>98</v>
      </c>
      <c r="B12" s="4" t="n">
        <v>0.764874536252164</v>
      </c>
      <c r="C12" s="4" t="n">
        <v>0.876013666770369</v>
      </c>
      <c r="D12" s="4" t="n">
        <v>0.895207722026772</v>
      </c>
      <c r="E12" s="4" t="n">
        <v>0.705920485491049</v>
      </c>
      <c r="F12" s="5" t="n">
        <f aca="false">C12-B12</f>
        <v>0.111139130518205</v>
      </c>
    </row>
    <row r="13" customFormat="false" ht="15" hidden="false" customHeight="false" outlineLevel="0" collapsed="false">
      <c r="A13" s="3" t="s">
        <v>99</v>
      </c>
      <c r="B13" s="4" t="n">
        <v>0.762992819874653</v>
      </c>
      <c r="C13" s="4" t="n">
        <v>0.871410108640683</v>
      </c>
      <c r="D13" s="4" t="n">
        <v>0.899316524430106</v>
      </c>
      <c r="E13" s="4" t="n">
        <v>0.717530113629355</v>
      </c>
      <c r="F13" s="5" t="n">
        <f aca="false">C13-B13</f>
        <v>0.10841728876603</v>
      </c>
    </row>
    <row r="14" customFormat="false" ht="15" hidden="false" customHeight="false" outlineLevel="0" collapsed="false">
      <c r="A14" s="3" t="s">
        <v>100</v>
      </c>
      <c r="B14" s="4" t="n">
        <f aca="false">AVERAGE(B4:B13)</f>
        <v>0.763207716544714</v>
      </c>
      <c r="C14" s="4" t="n">
        <f aca="false">AVERAGE(C4:C13)</f>
        <v>0.873822625275302</v>
      </c>
      <c r="D14" s="4" t="n">
        <f aca="false">AVERAGE(D4:D13)</f>
        <v>0.897094783410745</v>
      </c>
      <c r="E14" s="4" t="n">
        <f aca="false">AVERAGE(E4:E13)</f>
        <v>0.725413175852083</v>
      </c>
      <c r="F14" s="5" t="n">
        <f aca="false">AVERAGE(F4:F13)</f>
        <v>0.110614908730588</v>
      </c>
    </row>
    <row r="15" customFormat="false" ht="15" hidden="false" customHeight="false" outlineLevel="0" collapsed="false">
      <c r="A15" s="3" t="s">
        <v>101</v>
      </c>
      <c r="B15" s="4" t="n">
        <f aca="false">STDEV(B4:B13)</f>
        <v>0.00165026128929786</v>
      </c>
      <c r="C15" s="4" t="n">
        <f aca="false">STDEV(C4:C13)</f>
        <v>0.00279381863218846</v>
      </c>
      <c r="D15" s="4" t="n">
        <f aca="false">STDEV(D4:D13)</f>
        <v>0.00366761566953288</v>
      </c>
      <c r="E15" s="4" t="n">
        <f aca="false">STDEV(E4:E13)</f>
        <v>0.0119516731882399</v>
      </c>
      <c r="F15" s="5" t="n">
        <f aca="false">STDEV(F4:F13)</f>
        <v>0.00312185825391934</v>
      </c>
    </row>
    <row r="16" customFormat="false" ht="15" hidden="false" customHeight="false" outlineLevel="0" collapsed="false">
      <c r="A16" s="3" t="s">
        <v>102</v>
      </c>
      <c r="B16" s="4" t="n">
        <f aca="false">MIN(B4:B13)</f>
        <v>0.760266866579045</v>
      </c>
      <c r="C16" s="4" t="n">
        <f aca="false">MIN(C4:C13)</f>
        <v>0.868708824605669</v>
      </c>
      <c r="D16" s="4" t="n">
        <f aca="false">MIN(D4:D13)</f>
        <v>0.891410711667053</v>
      </c>
      <c r="E16" s="4" t="n">
        <f aca="false">MIN(E4:E13)</f>
        <v>0.705465474684542</v>
      </c>
      <c r="F16" s="5" t="n">
        <f aca="false">MIN(F4:F13)</f>
        <v>0.10349028921967</v>
      </c>
    </row>
    <row r="18" customFormat="false" ht="15" hidden="false" customHeight="false" outlineLevel="0" collapsed="false">
      <c r="A18" s="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" t="s">
        <v>104</v>
      </c>
    </row>
    <row r="3" customFormat="false" ht="30" hidden="false" customHeight="true" outlineLevel="0" collapsed="false">
      <c r="A3" s="2" t="s">
        <v>87</v>
      </c>
      <c r="B3" s="2" t="s">
        <v>88</v>
      </c>
      <c r="C3" s="2" t="s">
        <v>29</v>
      </c>
      <c r="D3" s="2" t="s">
        <v>27</v>
      </c>
      <c r="E3" s="2" t="s">
        <v>89</v>
      </c>
      <c r="F3" s="2" t="s">
        <v>70</v>
      </c>
    </row>
    <row r="4" customFormat="false" ht="15" hidden="false" customHeight="false" outlineLevel="0" collapsed="false">
      <c r="A4" s="3" t="s">
        <v>90</v>
      </c>
      <c r="B4" s="4" t="n">
        <v>0.626612817231819</v>
      </c>
      <c r="C4" s="4" t="n">
        <v>0.724754745148219</v>
      </c>
      <c r="D4" s="4" t="n">
        <v>0.751919385796545</v>
      </c>
      <c r="E4" s="4" t="n">
        <v>0.667237912439448</v>
      </c>
      <c r="F4" s="5" t="n">
        <f aca="false">C4-B4</f>
        <v>0.0981419279164001</v>
      </c>
    </row>
    <row r="5" customFormat="false" ht="15" hidden="false" customHeight="false" outlineLevel="0" collapsed="false">
      <c r="A5" s="3" t="s">
        <v>91</v>
      </c>
      <c r="B5" s="4" t="n">
        <v>0.626995551899583</v>
      </c>
      <c r="C5" s="4" t="n">
        <v>0.720032446759894</v>
      </c>
      <c r="D5" s="4" t="n">
        <v>0.769741301831033</v>
      </c>
      <c r="E5" s="4" t="n">
        <v>0.667915790756482</v>
      </c>
      <c r="F5" s="5" t="n">
        <f aca="false">C5-B5</f>
        <v>0.0930368948603114</v>
      </c>
    </row>
    <row r="6" customFormat="false" ht="15" hidden="false" customHeight="false" outlineLevel="0" collapsed="false">
      <c r="A6" s="3" t="s">
        <v>92</v>
      </c>
      <c r="B6" s="4" t="n">
        <v>0.625723577978856</v>
      </c>
      <c r="C6" s="4" t="n">
        <v>0.73743830545654</v>
      </c>
      <c r="D6" s="4" t="n">
        <v>0.765351278067209</v>
      </c>
      <c r="E6" s="4" t="n">
        <v>0.667106525911708</v>
      </c>
      <c r="F6" s="5" t="n">
        <f aca="false">C6-B6</f>
        <v>0.111714727477683</v>
      </c>
    </row>
    <row r="7" customFormat="false" ht="15" hidden="false" customHeight="false" outlineLevel="0" collapsed="false">
      <c r="A7" s="3" t="s">
        <v>93</v>
      </c>
      <c r="B7" s="4" t="n">
        <v>0.626254836547543</v>
      </c>
      <c r="C7" s="4" t="n">
        <v>0.725828687201048</v>
      </c>
      <c r="D7" s="4" t="n">
        <v>0.765650230021631</v>
      </c>
      <c r="E7" s="4" t="n">
        <v>0.677398470584651</v>
      </c>
      <c r="F7" s="5" t="n">
        <f aca="false">C7-B7</f>
        <v>0.0995738506535052</v>
      </c>
    </row>
    <row r="8" customFormat="false" ht="15" hidden="false" customHeight="false" outlineLevel="0" collapsed="false">
      <c r="A8" s="3" t="s">
        <v>94</v>
      </c>
      <c r="B8" s="4" t="n">
        <v>0.627635347165098</v>
      </c>
      <c r="C8" s="4" t="n">
        <v>0.723438975718246</v>
      </c>
      <c r="D8" s="4" t="n">
        <v>0.751772766048198</v>
      </c>
      <c r="E8" s="4" t="n">
        <v>0.665815510465223</v>
      </c>
      <c r="F8" s="5" t="n">
        <f aca="false">C8-B8</f>
        <v>0.0958036285531487</v>
      </c>
    </row>
    <row r="9" customFormat="false" ht="15" hidden="false" customHeight="false" outlineLevel="0" collapsed="false">
      <c r="A9" s="3" t="s">
        <v>95</v>
      </c>
      <c r="B9" s="4" t="n">
        <v>0.626662325198794</v>
      </c>
      <c r="C9" s="4" t="n">
        <v>0.723795052249947</v>
      </c>
      <c r="D9" s="4" t="n">
        <v>0.745784206196874</v>
      </c>
      <c r="E9" s="4" t="n">
        <v>0.669239176796758</v>
      </c>
      <c r="F9" s="5" t="n">
        <f aca="false">C9-B9</f>
        <v>0.0971327270511532</v>
      </c>
    </row>
    <row r="10" customFormat="false" ht="15" hidden="false" customHeight="false" outlineLevel="0" collapsed="false">
      <c r="A10" s="3" t="s">
        <v>96</v>
      </c>
      <c r="B10" s="4" t="n">
        <v>0.626835603083204</v>
      </c>
      <c r="C10" s="4" t="n">
        <v>0.729101925479085</v>
      </c>
      <c r="D10" s="4" t="n">
        <v>0.768146574048685</v>
      </c>
      <c r="E10" s="4" t="n">
        <v>0.670943393352223</v>
      </c>
      <c r="F10" s="5" t="n">
        <f aca="false">C10-B10</f>
        <v>0.102266322395881</v>
      </c>
    </row>
    <row r="11" customFormat="false" ht="15" hidden="false" customHeight="false" outlineLevel="0" collapsed="false">
      <c r="A11" s="3" t="s">
        <v>97</v>
      </c>
      <c r="B11" s="4" t="n">
        <v>0.626650900283338</v>
      </c>
      <c r="C11" s="4" t="n">
        <v>0.733858498613777</v>
      </c>
      <c r="D11" s="4" t="n">
        <v>0.737755346860433</v>
      </c>
      <c r="E11" s="4" t="n">
        <v>0.663745696615178</v>
      </c>
      <c r="F11" s="5" t="n">
        <f aca="false">C11-B11</f>
        <v>0.107207598330439</v>
      </c>
    </row>
    <row r="12" customFormat="false" ht="15" hidden="false" customHeight="false" outlineLevel="0" collapsed="false">
      <c r="A12" s="3" t="s">
        <v>98</v>
      </c>
      <c r="B12" s="4" t="n">
        <v>0.628852100661122</v>
      </c>
      <c r="C12" s="4" t="n">
        <v>0.722806797063035</v>
      </c>
      <c r="D12" s="4" t="n">
        <v>0.758155485482741</v>
      </c>
      <c r="E12" s="4" t="n">
        <v>0.653823157541968</v>
      </c>
      <c r="F12" s="5" t="n">
        <f aca="false">C12-B12</f>
        <v>0.0939546964019133</v>
      </c>
    </row>
    <row r="13" customFormat="false" ht="15" hidden="false" customHeight="false" outlineLevel="0" collapsed="false">
      <c r="A13" s="3" t="s">
        <v>99</v>
      </c>
      <c r="B13" s="4" t="n">
        <v>0.625348459921397</v>
      </c>
      <c r="C13" s="4" t="n">
        <v>0.723608445297505</v>
      </c>
      <c r="D13" s="4" t="n">
        <v>0.757784175730433</v>
      </c>
      <c r="E13" s="4" t="n">
        <v>0.654594339335222</v>
      </c>
      <c r="F13" s="5" t="n">
        <f aca="false">C13-B13</f>
        <v>0.0982599853761083</v>
      </c>
    </row>
    <row r="14" customFormat="false" ht="15" hidden="false" customHeight="false" outlineLevel="0" collapsed="false">
      <c r="A14" s="3" t="s">
        <v>100</v>
      </c>
      <c r="B14" s="4" t="n">
        <f aca="false">AVERAGE(B4:B13)</f>
        <v>0.626757151997075</v>
      </c>
      <c r="C14" s="4" t="n">
        <f aca="false">AVERAGE(C4:C13)</f>
        <v>0.72646638789873</v>
      </c>
      <c r="D14" s="4" t="n">
        <f aca="false">AVERAGE(D4:D13)</f>
        <v>0.757206075008378</v>
      </c>
      <c r="E14" s="4" t="n">
        <f aca="false">AVERAGE(E4:E13)</f>
        <v>0.665781997379886</v>
      </c>
      <c r="F14" s="5" t="n">
        <f aca="false">AVERAGE(F4:F13)</f>
        <v>0.0997092359016544</v>
      </c>
    </row>
    <row r="15" customFormat="false" ht="15" hidden="false" customHeight="false" outlineLevel="0" collapsed="false">
      <c r="A15" s="3" t="s">
        <v>101</v>
      </c>
      <c r="B15" s="4" t="n">
        <f aca="false">STDEV(B4:B13)</f>
        <v>0.000975770307866248</v>
      </c>
      <c r="C15" s="4" t="n">
        <f aca="false">STDEV(C4:C13)</f>
        <v>0.00542182846746121</v>
      </c>
      <c r="D15" s="4" t="n">
        <f aca="false">STDEV(D4:D13)</f>
        <v>0.0104454665334309</v>
      </c>
      <c r="E15" s="4" t="n">
        <f aca="false">STDEV(E4:E13)</f>
        <v>0.0071046688327821</v>
      </c>
      <c r="F15" s="5" t="n">
        <f aca="false">STDEV(F4:F13)</f>
        <v>0.00587837936329965</v>
      </c>
    </row>
    <row r="16" customFormat="false" ht="15" hidden="false" customHeight="false" outlineLevel="0" collapsed="false">
      <c r="A16" s="3" t="s">
        <v>102</v>
      </c>
      <c r="B16" s="4" t="n">
        <f aca="false">MIN(B4:B13)</f>
        <v>0.625348459921397</v>
      </c>
      <c r="C16" s="4" t="n">
        <f aca="false">MIN(C4:C13)</f>
        <v>0.720032446759894</v>
      </c>
      <c r="D16" s="4" t="n">
        <f aca="false">MIN(D4:D13)</f>
        <v>0.737755346860433</v>
      </c>
      <c r="E16" s="4" t="n">
        <f aca="false">MIN(E4:E13)</f>
        <v>0.653823157541968</v>
      </c>
      <c r="F16" s="5" t="n">
        <f aca="false">MIN(F4:F13)</f>
        <v>0.0930368948603114</v>
      </c>
    </row>
    <row r="18" customFormat="false" ht="15" hidden="false" customHeight="false" outlineLevel="0" collapsed="false">
      <c r="A18" s="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1" t="s">
        <v>105</v>
      </c>
    </row>
    <row r="3" customFormat="false" ht="30" hidden="false" customHeight="true" outlineLevel="0" collapsed="false">
      <c r="A3" s="2" t="s">
        <v>24</v>
      </c>
      <c r="B3" s="2" t="s">
        <v>25</v>
      </c>
      <c r="C3" s="2" t="s">
        <v>26</v>
      </c>
      <c r="D3" s="2" t="s">
        <v>106</v>
      </c>
      <c r="E3" s="2" t="s">
        <v>107</v>
      </c>
      <c r="F3" s="2" t="s">
        <v>108</v>
      </c>
      <c r="G3" s="2" t="s">
        <v>70</v>
      </c>
      <c r="H3" s="2" t="s">
        <v>107</v>
      </c>
      <c r="I3" s="2" t="s">
        <v>108</v>
      </c>
    </row>
    <row r="4" customFormat="false" ht="15" hidden="false" customHeight="false" outlineLevel="0" collapsed="false">
      <c r="A4" s="3" t="s">
        <v>109</v>
      </c>
      <c r="B4" s="7" t="n">
        <v>66</v>
      </c>
      <c r="C4" s="4" t="n">
        <v>0.648909969616525</v>
      </c>
      <c r="D4" s="5" t="n">
        <v>0.324077511896585</v>
      </c>
      <c r="E4" s="5" t="n">
        <v>0.244100108700858</v>
      </c>
      <c r="F4" s="5" t="n">
        <v>0.411347735813248</v>
      </c>
      <c r="G4" s="5" t="n">
        <v>0.290647953911176</v>
      </c>
      <c r="H4" s="5" t="n">
        <v>0.21692673915229</v>
      </c>
      <c r="I4" s="5" t="n">
        <v>0.371379769878476</v>
      </c>
    </row>
    <row r="5" customFormat="false" ht="15" hidden="false" customHeight="false" outlineLevel="0" collapsed="false">
      <c r="A5" s="3" t="s">
        <v>110</v>
      </c>
      <c r="B5" s="7" t="n">
        <v>51</v>
      </c>
      <c r="C5" s="4" t="n">
        <v>0.816061854596852</v>
      </c>
      <c r="D5" s="5" t="n">
        <v>-0.0295679227378106</v>
      </c>
      <c r="E5" s="5" t="n">
        <v>-0.0931150860370642</v>
      </c>
      <c r="F5" s="5" t="n">
        <v>0.0378691176104551</v>
      </c>
      <c r="G5" s="5" t="n">
        <v>-0.0658906813695459</v>
      </c>
      <c r="H5" s="5" t="n">
        <v>-0.128871306387324</v>
      </c>
      <c r="I5" s="5" t="n">
        <v>-0.00336011975959002</v>
      </c>
    </row>
    <row r="6" customFormat="false" ht="15" hidden="false" customHeight="false" outlineLevel="0" collapsed="false">
      <c r="A6" s="3" t="s">
        <v>111</v>
      </c>
      <c r="B6" s="7" t="n">
        <v>11</v>
      </c>
      <c r="C6" s="4" t="n">
        <v>0.8277609668257</v>
      </c>
      <c r="D6" s="5" t="n">
        <v>0.0115748046113576</v>
      </c>
      <c r="E6" s="5" t="n">
        <v>-0.0966075553574374</v>
      </c>
      <c r="F6" s="5" t="n">
        <v>0.116685770171869</v>
      </c>
      <c r="G6" s="5" t="n">
        <v>0.0627657007072976</v>
      </c>
      <c r="H6" s="5" t="n">
        <v>-0.000664281309838832</v>
      </c>
      <c r="I6" s="5" t="n">
        <v>0.136326109061503</v>
      </c>
    </row>
    <row r="7" customFormat="false" ht="15" hidden="false" customHeight="false" outlineLevel="0" collapsed="false">
      <c r="A7" s="3" t="s">
        <v>112</v>
      </c>
      <c r="B7" s="7" t="n">
        <v>52</v>
      </c>
      <c r="C7" s="4" t="n">
        <v>0.377496124317142</v>
      </c>
      <c r="D7" s="5" t="n">
        <v>0.144636793149269</v>
      </c>
      <c r="E7" s="5" t="n">
        <v>0.0572070649833604</v>
      </c>
      <c r="F7" s="5" t="n">
        <v>0.23266212297695</v>
      </c>
      <c r="G7" s="5" t="n">
        <v>0.275247305477632</v>
      </c>
      <c r="H7" s="5" t="n">
        <v>0.195950480463531</v>
      </c>
      <c r="I7" s="5" t="n">
        <v>0.353055807344646</v>
      </c>
    </row>
    <row r="8" customFormat="false" ht="15" hidden="false" customHeight="false" outlineLevel="0" collapsed="false">
      <c r="A8" s="3" t="s">
        <v>113</v>
      </c>
      <c r="B8" s="7" t="n">
        <v>46</v>
      </c>
      <c r="C8" s="4" t="n">
        <v>0.795590628390219</v>
      </c>
      <c r="D8" s="5" t="n">
        <v>-0.00482193524159225</v>
      </c>
      <c r="E8" s="5" t="n">
        <v>-0.0689285262538219</v>
      </c>
      <c r="F8" s="5" t="n">
        <v>0.0631841407302173</v>
      </c>
      <c r="G8" s="5" t="n">
        <v>-0.0824918634732538</v>
      </c>
      <c r="H8" s="5" t="n">
        <v>-0.139293051181214</v>
      </c>
      <c r="I8" s="5" t="n">
        <v>-0.0231236879844152</v>
      </c>
    </row>
    <row r="9" customFormat="false" ht="15" hidden="false" customHeight="false" outlineLevel="0" collapsed="false">
      <c r="A9" s="3" t="s">
        <v>114</v>
      </c>
      <c r="B9" s="7" t="n">
        <v>9</v>
      </c>
      <c r="C9" s="4" t="n">
        <v>0.800890381744508</v>
      </c>
      <c r="D9" s="5" t="n">
        <v>-0.0875986351034336</v>
      </c>
      <c r="E9" s="5" t="n">
        <v>-0.240416027723596</v>
      </c>
      <c r="F9" s="5" t="n">
        <v>0.069014733739918</v>
      </c>
      <c r="G9" s="5" t="n">
        <v>0.0533162721262529</v>
      </c>
      <c r="H9" s="5" t="n">
        <v>-0.0261072601981677</v>
      </c>
      <c r="I9" s="5" t="n">
        <v>0.147880759690188</v>
      </c>
    </row>
    <row r="11" customFormat="false" ht="15" hidden="false" customHeight="false" outlineLevel="0" collapsed="false">
      <c r="A11" s="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116</v>
      </c>
    </row>
    <row r="3" customFormat="false" ht="30" hidden="false" customHeight="true" outlineLevel="0" collapsed="false">
      <c r="A3" s="2" t="s">
        <v>117</v>
      </c>
      <c r="B3" s="2" t="s">
        <v>118</v>
      </c>
      <c r="C3" s="2" t="s">
        <v>119</v>
      </c>
      <c r="D3" s="2" t="s">
        <v>120</v>
      </c>
    </row>
    <row r="4" customFormat="false" ht="15" hidden="false" customHeight="false" outlineLevel="0" collapsed="false">
      <c r="A4" s="3" t="s">
        <v>15</v>
      </c>
      <c r="B4" s="8" t="n">
        <v>0.213065036228923</v>
      </c>
      <c r="C4" s="8" t="n">
        <v>0.425126544113893</v>
      </c>
      <c r="D4" s="8" t="n">
        <v>0.326386397196832</v>
      </c>
    </row>
    <row r="5" customFormat="false" ht="15" hidden="false" customHeight="false" outlineLevel="0" collapsed="false">
      <c r="A5" s="3" t="s">
        <v>14</v>
      </c>
      <c r="B5" s="8" t="n">
        <v>1.99804941015869</v>
      </c>
      <c r="C5" s="8" t="n">
        <v>0.943732022580715</v>
      </c>
      <c r="D5" s="8" t="n">
        <v>1.43043910867033</v>
      </c>
    </row>
    <row r="6" customFormat="false" ht="15" hidden="false" customHeight="false" outlineLevel="0" collapsed="false">
      <c r="A6" s="3" t="s">
        <v>121</v>
      </c>
      <c r="B6" s="8" t="n">
        <v>0.176364759295332</v>
      </c>
      <c r="C6" s="8" t="n">
        <v>-0.024871125548301</v>
      </c>
      <c r="D6" s="8" t="n">
        <v>0.084351266928543</v>
      </c>
    </row>
    <row r="7" customFormat="false" ht="15" hidden="false" customHeight="false" outlineLevel="0" collapsed="false">
      <c r="A7" s="3" t="s">
        <v>10</v>
      </c>
      <c r="B7" s="8" t="n">
        <v>1.41109589230522</v>
      </c>
      <c r="C7" s="8" t="n">
        <v>0.37655960009212</v>
      </c>
      <c r="D7" s="8" t="n">
        <v>1.50992137747865</v>
      </c>
    </row>
    <row r="8" customFormat="false" ht="15" hidden="false" customHeight="false" outlineLevel="0" collapsed="false">
      <c r="A8" s="3" t="s">
        <v>12</v>
      </c>
      <c r="B8" s="8" t="n">
        <v>0.0163713580410209</v>
      </c>
      <c r="C8" s="8" t="n">
        <v>-0.0336808481906868</v>
      </c>
      <c r="D8" s="8" t="n">
        <v>0.0396492206621962</v>
      </c>
    </row>
    <row r="9" customFormat="false" ht="15" hidden="false" customHeight="false" outlineLevel="0" collapsed="false">
      <c r="A9" s="3" t="s">
        <v>122</v>
      </c>
      <c r="B9" s="8" t="n">
        <v>0.132044750505732</v>
      </c>
      <c r="C9" s="8" t="n">
        <v>0.117722059244612</v>
      </c>
      <c r="D9" s="8" t="n">
        <v>0.211605259184521</v>
      </c>
    </row>
    <row r="10" customFormat="false" ht="15" hidden="false" customHeight="false" outlineLevel="0" collapsed="false">
      <c r="A10" s="3" t="s">
        <v>123</v>
      </c>
      <c r="B10" s="8" t="n">
        <v>21.5013478037086</v>
      </c>
      <c r="C10" s="8" t="n">
        <v>21.4529774714187</v>
      </c>
      <c r="D10" s="8" t="n">
        <v>22.1714420501993</v>
      </c>
    </row>
    <row r="11" customFormat="false" ht="15" hidden="false" customHeight="false" outlineLevel="0" collapsed="false">
      <c r="A11" s="3" t="s">
        <v>124</v>
      </c>
      <c r="B11" s="8" t="n">
        <v>52</v>
      </c>
      <c r="C11" s="8" t="n">
        <v>65</v>
      </c>
      <c r="D11" s="8" t="n">
        <v>4193</v>
      </c>
    </row>
    <row r="13" customFormat="false" ht="15" hidden="false" customHeight="false" outlineLevel="0" collapsed="false">
      <c r="A13" s="6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2026-09-23T18:44:50Z</dcterms:created>
  <dc:creator>Thomas G. M. Lopes</dc:creator>
  <dc:description/>
  <dc:language>en-US</dc:language>
  <cp:lastModifiedBy>Thomas G. M. Lopes</cp:lastModifiedBy>
  <dcterms:modified xsi:type="dcterms:W3CDTF">2026-09-23T18:44:50Z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